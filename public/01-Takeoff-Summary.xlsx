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730" windowHeight="9210" activeTab="7"/>
  </bookViews>
  <sheets>
    <sheet name="Unit Matrix" sheetId="6" r:id="rId1"/>
    <sheet name="Units" sheetId="5" r:id="rId2"/>
    <sheet name="Structural" sheetId="7" r:id="rId3"/>
    <sheet name="Architectural" sheetId="8" r:id="rId4"/>
    <sheet name="Exterior Facade" sheetId="9" r:id="rId5"/>
    <sheet name="MEPT" sheetId="1" r:id="rId6"/>
    <sheet name="Civil + Landscape" sheetId="3" r:id="rId7"/>
    <sheet name="Utility" sheetId="4" r:id="rId8"/>
  </sheets>
  <calcPr calcId="144525"/>
</workbook>
</file>

<file path=xl/calcChain.xml><?xml version="1.0" encoding="utf-8"?>
<calcChain xmlns="http://schemas.openxmlformats.org/spreadsheetml/2006/main">
  <c r="H58" i="3" l="1"/>
  <c r="H28" i="3"/>
  <c r="H27" i="3"/>
  <c r="H26" i="3"/>
  <c r="H25" i="3"/>
  <c r="F25" i="3"/>
  <c r="H24" i="3"/>
  <c r="H23" i="3"/>
  <c r="H22" i="3"/>
  <c r="G39" i="9"/>
  <c r="G38" i="9"/>
  <c r="G37" i="9"/>
  <c r="G35" i="9"/>
  <c r="G33" i="9"/>
  <c r="G32" i="9"/>
  <c r="G31" i="9"/>
  <c r="G30" i="9"/>
  <c r="G29" i="9"/>
  <c r="G28" i="9"/>
  <c r="G27" i="9"/>
  <c r="G26" i="9"/>
  <c r="G24" i="9"/>
  <c r="G80" i="8"/>
  <c r="G78" i="8"/>
  <c r="G76" i="8"/>
  <c r="G74" i="8"/>
  <c r="G72" i="8"/>
  <c r="G71" i="8"/>
  <c r="G70" i="8"/>
  <c r="G69" i="8"/>
  <c r="G57" i="8"/>
  <c r="G56" i="8"/>
  <c r="G55" i="8"/>
  <c r="G54" i="8"/>
  <c r="G53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6" i="8"/>
  <c r="D64" i="7"/>
  <c r="D59" i="7"/>
  <c r="F49" i="7"/>
  <c r="F47" i="7"/>
  <c r="F46" i="7"/>
  <c r="F44" i="7"/>
  <c r="D44" i="7"/>
  <c r="F43" i="7"/>
  <c r="F42" i="7"/>
  <c r="F41" i="7"/>
  <c r="F40" i="7"/>
  <c r="F38" i="7"/>
  <c r="D38" i="7"/>
  <c r="F37" i="7"/>
  <c r="F36" i="7"/>
  <c r="F35" i="7"/>
  <c r="F34" i="7"/>
  <c r="F33" i="7"/>
  <c r="F31" i="7"/>
  <c r="D31" i="7"/>
  <c r="F30" i="7"/>
  <c r="F29" i="7"/>
  <c r="F27" i="7"/>
  <c r="F25" i="7"/>
  <c r="D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9" i="7"/>
  <c r="D9" i="7"/>
  <c r="F8" i="7"/>
  <c r="F7" i="7"/>
  <c r="F6" i="7"/>
  <c r="F5" i="7"/>
  <c r="AD264" i="5"/>
  <c r="AC264" i="5"/>
  <c r="AA264" i="5"/>
  <c r="Y264" i="5"/>
  <c r="X264" i="5"/>
  <c r="V264" i="5"/>
  <c r="T264" i="5"/>
  <c r="S264" i="5"/>
  <c r="Q264" i="5"/>
  <c r="O264" i="5"/>
  <c r="N264" i="5"/>
  <c r="L264" i="5"/>
  <c r="J264" i="5"/>
  <c r="I264" i="5"/>
  <c r="G264" i="5"/>
  <c r="D264" i="5"/>
  <c r="C264" i="5"/>
  <c r="B264" i="5"/>
  <c r="AD263" i="5"/>
  <c r="AC263" i="5"/>
  <c r="AA263" i="5"/>
  <c r="Y263" i="5"/>
  <c r="X263" i="5"/>
  <c r="V263" i="5"/>
  <c r="T263" i="5"/>
  <c r="S263" i="5"/>
  <c r="Q263" i="5"/>
  <c r="O263" i="5"/>
  <c r="N263" i="5"/>
  <c r="L263" i="5"/>
  <c r="J263" i="5"/>
  <c r="I263" i="5"/>
  <c r="G263" i="5"/>
  <c r="D263" i="5"/>
  <c r="C263" i="5"/>
  <c r="B263" i="5"/>
  <c r="AD262" i="5"/>
  <c r="AC262" i="5"/>
  <c r="AA262" i="5"/>
  <c r="Y262" i="5"/>
  <c r="X262" i="5"/>
  <c r="V262" i="5"/>
  <c r="T262" i="5"/>
  <c r="S262" i="5"/>
  <c r="Q262" i="5"/>
  <c r="O262" i="5"/>
  <c r="N262" i="5"/>
  <c r="L262" i="5"/>
  <c r="J262" i="5"/>
  <c r="I262" i="5"/>
  <c r="G262" i="5"/>
  <c r="D262" i="5"/>
  <c r="C262" i="5"/>
  <c r="B262" i="5"/>
  <c r="AD261" i="5"/>
  <c r="AC261" i="5"/>
  <c r="AA261" i="5"/>
  <c r="Y261" i="5"/>
  <c r="X261" i="5"/>
  <c r="V261" i="5"/>
  <c r="T261" i="5"/>
  <c r="S261" i="5"/>
  <c r="Q261" i="5"/>
  <c r="O261" i="5"/>
  <c r="N261" i="5"/>
  <c r="L261" i="5"/>
  <c r="J261" i="5"/>
  <c r="I261" i="5"/>
  <c r="G261" i="5"/>
  <c r="D261" i="5"/>
  <c r="C261" i="5"/>
  <c r="B261" i="5"/>
  <c r="AD260" i="5"/>
  <c r="AC260" i="5"/>
  <c r="AA260" i="5"/>
  <c r="Y260" i="5"/>
  <c r="X260" i="5"/>
  <c r="V260" i="5"/>
  <c r="T260" i="5"/>
  <c r="S260" i="5"/>
  <c r="Q260" i="5"/>
  <c r="O260" i="5"/>
  <c r="N260" i="5"/>
  <c r="L260" i="5"/>
  <c r="J260" i="5"/>
  <c r="I260" i="5"/>
  <c r="G260" i="5"/>
  <c r="D260" i="5"/>
  <c r="C260" i="5"/>
  <c r="B260" i="5"/>
  <c r="AD259" i="5"/>
  <c r="AC259" i="5"/>
  <c r="AA259" i="5"/>
  <c r="Y259" i="5"/>
  <c r="X259" i="5"/>
  <c r="V259" i="5"/>
  <c r="T259" i="5"/>
  <c r="S259" i="5"/>
  <c r="Q259" i="5"/>
  <c r="O259" i="5"/>
  <c r="N259" i="5"/>
  <c r="L259" i="5"/>
  <c r="J259" i="5"/>
  <c r="I259" i="5"/>
  <c r="G259" i="5"/>
  <c r="D259" i="5"/>
  <c r="C259" i="5"/>
  <c r="B259" i="5"/>
  <c r="AD258" i="5"/>
  <c r="AC258" i="5"/>
  <c r="AA258" i="5"/>
  <c r="Y258" i="5"/>
  <c r="X258" i="5"/>
  <c r="V258" i="5"/>
  <c r="T258" i="5"/>
  <c r="S258" i="5"/>
  <c r="Q258" i="5"/>
  <c r="O258" i="5"/>
  <c r="N258" i="5"/>
  <c r="L258" i="5"/>
  <c r="J258" i="5"/>
  <c r="I258" i="5"/>
  <c r="G258" i="5"/>
  <c r="D258" i="5"/>
  <c r="C258" i="5"/>
  <c r="B258" i="5"/>
  <c r="AD257" i="5"/>
  <c r="AC257" i="5"/>
  <c r="AA257" i="5"/>
  <c r="Y257" i="5"/>
  <c r="X257" i="5"/>
  <c r="V257" i="5"/>
  <c r="T257" i="5"/>
  <c r="S257" i="5"/>
  <c r="Q257" i="5"/>
  <c r="O257" i="5"/>
  <c r="N257" i="5"/>
  <c r="L257" i="5"/>
  <c r="J257" i="5"/>
  <c r="I257" i="5"/>
  <c r="G257" i="5"/>
  <c r="D257" i="5"/>
  <c r="C257" i="5"/>
  <c r="B257" i="5"/>
  <c r="AD256" i="5"/>
  <c r="AC256" i="5"/>
  <c r="AA256" i="5"/>
  <c r="Y256" i="5"/>
  <c r="X256" i="5"/>
  <c r="V256" i="5"/>
  <c r="T256" i="5"/>
  <c r="S256" i="5"/>
  <c r="Q256" i="5"/>
  <c r="O256" i="5"/>
  <c r="N256" i="5"/>
  <c r="L256" i="5"/>
  <c r="J256" i="5"/>
  <c r="I256" i="5"/>
  <c r="G256" i="5"/>
  <c r="D256" i="5"/>
  <c r="C256" i="5"/>
  <c r="B256" i="5"/>
  <c r="AD255" i="5"/>
  <c r="AC255" i="5"/>
  <c r="AA255" i="5"/>
  <c r="Y255" i="5"/>
  <c r="X255" i="5"/>
  <c r="V255" i="5"/>
  <c r="T255" i="5"/>
  <c r="S255" i="5"/>
  <c r="Q255" i="5"/>
  <c r="O255" i="5"/>
  <c r="N255" i="5"/>
  <c r="L255" i="5"/>
  <c r="J255" i="5"/>
  <c r="I255" i="5"/>
  <c r="G255" i="5"/>
  <c r="D255" i="5"/>
  <c r="C255" i="5"/>
  <c r="B255" i="5"/>
  <c r="AD254" i="5"/>
  <c r="AC254" i="5"/>
  <c r="AA254" i="5"/>
  <c r="Y254" i="5"/>
  <c r="X254" i="5"/>
  <c r="V254" i="5"/>
  <c r="T254" i="5"/>
  <c r="S254" i="5"/>
  <c r="Q254" i="5"/>
  <c r="O254" i="5"/>
  <c r="N254" i="5"/>
  <c r="L254" i="5"/>
  <c r="J254" i="5"/>
  <c r="I254" i="5"/>
  <c r="G254" i="5"/>
  <c r="D254" i="5"/>
  <c r="C254" i="5"/>
  <c r="B254" i="5"/>
  <c r="AD253" i="5"/>
  <c r="AC253" i="5"/>
  <c r="AA253" i="5"/>
  <c r="Y253" i="5"/>
  <c r="X253" i="5"/>
  <c r="V253" i="5"/>
  <c r="T253" i="5"/>
  <c r="S253" i="5"/>
  <c r="Q253" i="5"/>
  <c r="O253" i="5"/>
  <c r="N253" i="5"/>
  <c r="L253" i="5"/>
  <c r="J253" i="5"/>
  <c r="I253" i="5"/>
  <c r="G253" i="5"/>
  <c r="D253" i="5"/>
  <c r="C253" i="5"/>
  <c r="B253" i="5"/>
  <c r="AD252" i="5"/>
  <c r="AC252" i="5"/>
  <c r="AA252" i="5"/>
  <c r="Y252" i="5"/>
  <c r="X252" i="5"/>
  <c r="V252" i="5"/>
  <c r="T252" i="5"/>
  <c r="S252" i="5"/>
  <c r="Q252" i="5"/>
  <c r="O252" i="5"/>
  <c r="N252" i="5"/>
  <c r="L252" i="5"/>
  <c r="J252" i="5"/>
  <c r="I252" i="5"/>
  <c r="G252" i="5"/>
  <c r="D252" i="5"/>
  <c r="C252" i="5"/>
  <c r="B252" i="5"/>
  <c r="AD251" i="5"/>
  <c r="AC251" i="5"/>
  <c r="AA251" i="5"/>
  <c r="Y251" i="5"/>
  <c r="X251" i="5"/>
  <c r="V251" i="5"/>
  <c r="T251" i="5"/>
  <c r="S251" i="5"/>
  <c r="Q251" i="5"/>
  <c r="O251" i="5"/>
  <c r="N251" i="5"/>
  <c r="L251" i="5"/>
  <c r="J251" i="5"/>
  <c r="I251" i="5"/>
  <c r="G251" i="5"/>
  <c r="D251" i="5"/>
  <c r="C251" i="5"/>
  <c r="B251" i="5"/>
  <c r="AD250" i="5"/>
  <c r="AC250" i="5"/>
  <c r="AA250" i="5"/>
  <c r="Y250" i="5"/>
  <c r="X250" i="5"/>
  <c r="V250" i="5"/>
  <c r="T250" i="5"/>
  <c r="S250" i="5"/>
  <c r="Q250" i="5"/>
  <c r="O250" i="5"/>
  <c r="N250" i="5"/>
  <c r="L250" i="5"/>
  <c r="J250" i="5"/>
  <c r="I250" i="5"/>
  <c r="G250" i="5"/>
  <c r="D250" i="5"/>
  <c r="C250" i="5"/>
  <c r="B250" i="5"/>
  <c r="AD249" i="5"/>
  <c r="AC249" i="5"/>
  <c r="AA249" i="5"/>
  <c r="Y249" i="5"/>
  <c r="X249" i="5"/>
  <c r="V249" i="5"/>
  <c r="T249" i="5"/>
  <c r="S249" i="5"/>
  <c r="Q249" i="5"/>
  <c r="O249" i="5"/>
  <c r="N249" i="5"/>
  <c r="L249" i="5"/>
  <c r="J249" i="5"/>
  <c r="I249" i="5"/>
  <c r="G249" i="5"/>
  <c r="D249" i="5"/>
  <c r="C249" i="5"/>
  <c r="B249" i="5"/>
  <c r="AD248" i="5"/>
  <c r="AC248" i="5"/>
  <c r="AA248" i="5"/>
  <c r="Y248" i="5"/>
  <c r="X248" i="5"/>
  <c r="V248" i="5"/>
  <c r="T248" i="5"/>
  <c r="S248" i="5"/>
  <c r="Q248" i="5"/>
  <c r="O248" i="5"/>
  <c r="N248" i="5"/>
  <c r="L248" i="5"/>
  <c r="J248" i="5"/>
  <c r="I248" i="5"/>
  <c r="G248" i="5"/>
  <c r="D248" i="5"/>
  <c r="C248" i="5"/>
  <c r="B248" i="5"/>
  <c r="AD247" i="5"/>
  <c r="AC247" i="5"/>
  <c r="AA247" i="5"/>
  <c r="Y247" i="5"/>
  <c r="X247" i="5"/>
  <c r="V247" i="5"/>
  <c r="T247" i="5"/>
  <c r="S247" i="5"/>
  <c r="Q247" i="5"/>
  <c r="O247" i="5"/>
  <c r="N247" i="5"/>
  <c r="L247" i="5"/>
  <c r="J247" i="5"/>
  <c r="I247" i="5"/>
  <c r="G247" i="5"/>
  <c r="D247" i="5"/>
  <c r="C247" i="5"/>
  <c r="B247" i="5"/>
  <c r="AD246" i="5"/>
  <c r="AC246" i="5"/>
  <c r="AA246" i="5"/>
  <c r="Y246" i="5"/>
  <c r="X246" i="5"/>
  <c r="V246" i="5"/>
  <c r="T246" i="5"/>
  <c r="S246" i="5"/>
  <c r="Q246" i="5"/>
  <c r="O246" i="5"/>
  <c r="N246" i="5"/>
  <c r="L246" i="5"/>
  <c r="J246" i="5"/>
  <c r="I246" i="5"/>
  <c r="G246" i="5"/>
  <c r="D246" i="5"/>
  <c r="C246" i="5"/>
  <c r="B246" i="5"/>
  <c r="AD245" i="5"/>
  <c r="AC245" i="5"/>
  <c r="AA245" i="5"/>
  <c r="Y245" i="5"/>
  <c r="X245" i="5"/>
  <c r="V245" i="5"/>
  <c r="T245" i="5"/>
  <c r="S245" i="5"/>
  <c r="Q245" i="5"/>
  <c r="O245" i="5"/>
  <c r="N245" i="5"/>
  <c r="L245" i="5"/>
  <c r="J245" i="5"/>
  <c r="I245" i="5"/>
  <c r="G245" i="5"/>
  <c r="D245" i="5"/>
  <c r="C245" i="5"/>
  <c r="B245" i="5"/>
  <c r="C243" i="5"/>
  <c r="AD239" i="5"/>
  <c r="AC239" i="5"/>
  <c r="AA239" i="5"/>
  <c r="Y239" i="5"/>
  <c r="X239" i="5"/>
  <c r="V239" i="5"/>
  <c r="T239" i="5"/>
  <c r="S239" i="5"/>
  <c r="Q239" i="5"/>
  <c r="O239" i="5"/>
  <c r="N239" i="5"/>
  <c r="L239" i="5"/>
  <c r="J239" i="5"/>
  <c r="I239" i="5"/>
  <c r="G239" i="5"/>
  <c r="D239" i="5"/>
  <c r="C239" i="5"/>
  <c r="B239" i="5"/>
  <c r="AD238" i="5"/>
  <c r="AC238" i="5"/>
  <c r="AA238" i="5"/>
  <c r="Y238" i="5"/>
  <c r="X238" i="5"/>
  <c r="V238" i="5"/>
  <c r="T238" i="5"/>
  <c r="S238" i="5"/>
  <c r="Q238" i="5"/>
  <c r="O238" i="5"/>
  <c r="N238" i="5"/>
  <c r="L238" i="5"/>
  <c r="J238" i="5"/>
  <c r="I238" i="5"/>
  <c r="G238" i="5"/>
  <c r="D238" i="5"/>
  <c r="C238" i="5"/>
  <c r="B238" i="5"/>
  <c r="AD237" i="5"/>
  <c r="AC237" i="5"/>
  <c r="AA237" i="5"/>
  <c r="Y237" i="5"/>
  <c r="X237" i="5"/>
  <c r="V237" i="5"/>
  <c r="T237" i="5"/>
  <c r="S237" i="5"/>
  <c r="Q237" i="5"/>
  <c r="O237" i="5"/>
  <c r="N237" i="5"/>
  <c r="L237" i="5"/>
  <c r="J237" i="5"/>
  <c r="I237" i="5"/>
  <c r="G237" i="5"/>
  <c r="D237" i="5"/>
  <c r="C237" i="5"/>
  <c r="B237" i="5"/>
  <c r="AD236" i="5"/>
  <c r="AC236" i="5"/>
  <c r="AA236" i="5"/>
  <c r="Y236" i="5"/>
  <c r="X236" i="5"/>
  <c r="V236" i="5"/>
  <c r="T236" i="5"/>
  <c r="S236" i="5"/>
  <c r="Q236" i="5"/>
  <c r="O236" i="5"/>
  <c r="N236" i="5"/>
  <c r="L236" i="5"/>
  <c r="J236" i="5"/>
  <c r="I236" i="5"/>
  <c r="G236" i="5"/>
  <c r="D236" i="5"/>
  <c r="C236" i="5"/>
  <c r="B236" i="5"/>
  <c r="AD235" i="5"/>
  <c r="AC235" i="5"/>
  <c r="AA235" i="5"/>
  <c r="Y235" i="5"/>
  <c r="X235" i="5"/>
  <c r="V235" i="5"/>
  <c r="T235" i="5"/>
  <c r="S235" i="5"/>
  <c r="Q235" i="5"/>
  <c r="O235" i="5"/>
  <c r="N235" i="5"/>
  <c r="L235" i="5"/>
  <c r="J235" i="5"/>
  <c r="I235" i="5"/>
  <c r="G235" i="5"/>
  <c r="D235" i="5"/>
  <c r="C235" i="5"/>
  <c r="B235" i="5"/>
  <c r="AD234" i="5"/>
  <c r="AC234" i="5"/>
  <c r="AA234" i="5"/>
  <c r="Y234" i="5"/>
  <c r="X234" i="5"/>
  <c r="V234" i="5"/>
  <c r="T234" i="5"/>
  <c r="S234" i="5"/>
  <c r="Q234" i="5"/>
  <c r="O234" i="5"/>
  <c r="N234" i="5"/>
  <c r="L234" i="5"/>
  <c r="J234" i="5"/>
  <c r="I234" i="5"/>
  <c r="G234" i="5"/>
  <c r="D234" i="5"/>
  <c r="C234" i="5"/>
  <c r="B234" i="5"/>
  <c r="AD233" i="5"/>
  <c r="AC233" i="5"/>
  <c r="AA233" i="5"/>
  <c r="Y233" i="5"/>
  <c r="X233" i="5"/>
  <c r="V233" i="5"/>
  <c r="T233" i="5"/>
  <c r="S233" i="5"/>
  <c r="Q233" i="5"/>
  <c r="O233" i="5"/>
  <c r="N233" i="5"/>
  <c r="L233" i="5"/>
  <c r="J233" i="5"/>
  <c r="I233" i="5"/>
  <c r="G233" i="5"/>
  <c r="D233" i="5"/>
  <c r="C233" i="5"/>
  <c r="B233" i="5"/>
  <c r="AD232" i="5"/>
  <c r="AC232" i="5"/>
  <c r="AA232" i="5"/>
  <c r="Y232" i="5"/>
  <c r="X232" i="5"/>
  <c r="V232" i="5"/>
  <c r="T232" i="5"/>
  <c r="S232" i="5"/>
  <c r="Q232" i="5"/>
  <c r="O232" i="5"/>
  <c r="N232" i="5"/>
  <c r="L232" i="5"/>
  <c r="J232" i="5"/>
  <c r="I232" i="5"/>
  <c r="G232" i="5"/>
  <c r="D232" i="5"/>
  <c r="C232" i="5"/>
  <c r="B232" i="5"/>
  <c r="AD231" i="5"/>
  <c r="AC231" i="5"/>
  <c r="AA231" i="5"/>
  <c r="Y231" i="5"/>
  <c r="X231" i="5"/>
  <c r="V231" i="5"/>
  <c r="T231" i="5"/>
  <c r="S231" i="5"/>
  <c r="Q231" i="5"/>
  <c r="O231" i="5"/>
  <c r="N231" i="5"/>
  <c r="L231" i="5"/>
  <c r="J231" i="5"/>
  <c r="I231" i="5"/>
  <c r="G231" i="5"/>
  <c r="D231" i="5"/>
  <c r="C231" i="5"/>
  <c r="B231" i="5"/>
  <c r="AD230" i="5"/>
  <c r="AC230" i="5"/>
  <c r="AA230" i="5"/>
  <c r="Y230" i="5"/>
  <c r="X230" i="5"/>
  <c r="V230" i="5"/>
  <c r="T230" i="5"/>
  <c r="S230" i="5"/>
  <c r="Q230" i="5"/>
  <c r="O230" i="5"/>
  <c r="N230" i="5"/>
  <c r="L230" i="5"/>
  <c r="J230" i="5"/>
  <c r="I230" i="5"/>
  <c r="G230" i="5"/>
  <c r="D230" i="5"/>
  <c r="C230" i="5"/>
  <c r="B230" i="5"/>
  <c r="AD229" i="5"/>
  <c r="AC229" i="5"/>
  <c r="AA229" i="5"/>
  <c r="Y229" i="5"/>
  <c r="X229" i="5"/>
  <c r="V229" i="5"/>
  <c r="T229" i="5"/>
  <c r="S229" i="5"/>
  <c r="Q229" i="5"/>
  <c r="O229" i="5"/>
  <c r="N229" i="5"/>
  <c r="L229" i="5"/>
  <c r="J229" i="5"/>
  <c r="I229" i="5"/>
  <c r="G229" i="5"/>
  <c r="D229" i="5"/>
  <c r="C229" i="5"/>
  <c r="B229" i="5"/>
  <c r="AD228" i="5"/>
  <c r="AC228" i="5"/>
  <c r="AA228" i="5"/>
  <c r="Y228" i="5"/>
  <c r="X228" i="5"/>
  <c r="V228" i="5"/>
  <c r="T228" i="5"/>
  <c r="S228" i="5"/>
  <c r="Q228" i="5"/>
  <c r="O228" i="5"/>
  <c r="N228" i="5"/>
  <c r="L228" i="5"/>
  <c r="J228" i="5"/>
  <c r="I228" i="5"/>
  <c r="G228" i="5"/>
  <c r="D228" i="5"/>
  <c r="C228" i="5"/>
  <c r="B228" i="5"/>
  <c r="AD227" i="5"/>
  <c r="AC227" i="5"/>
  <c r="AA227" i="5"/>
  <c r="Y227" i="5"/>
  <c r="X227" i="5"/>
  <c r="V227" i="5"/>
  <c r="T227" i="5"/>
  <c r="S227" i="5"/>
  <c r="Q227" i="5"/>
  <c r="O227" i="5"/>
  <c r="N227" i="5"/>
  <c r="L227" i="5"/>
  <c r="J227" i="5"/>
  <c r="I227" i="5"/>
  <c r="G227" i="5"/>
  <c r="D227" i="5"/>
  <c r="C227" i="5"/>
  <c r="B227" i="5"/>
  <c r="AD226" i="5"/>
  <c r="AC226" i="5"/>
  <c r="AA226" i="5"/>
  <c r="Y226" i="5"/>
  <c r="X226" i="5"/>
  <c r="V226" i="5"/>
  <c r="T226" i="5"/>
  <c r="S226" i="5"/>
  <c r="Q226" i="5"/>
  <c r="O226" i="5"/>
  <c r="N226" i="5"/>
  <c r="L226" i="5"/>
  <c r="J226" i="5"/>
  <c r="I226" i="5"/>
  <c r="G226" i="5"/>
  <c r="D226" i="5"/>
  <c r="C226" i="5"/>
  <c r="B226" i="5"/>
  <c r="AD225" i="5"/>
  <c r="AC225" i="5"/>
  <c r="AA225" i="5"/>
  <c r="Y225" i="5"/>
  <c r="X225" i="5"/>
  <c r="V225" i="5"/>
  <c r="T225" i="5"/>
  <c r="S225" i="5"/>
  <c r="Q225" i="5"/>
  <c r="O225" i="5"/>
  <c r="N225" i="5"/>
  <c r="L225" i="5"/>
  <c r="J225" i="5"/>
  <c r="I225" i="5"/>
  <c r="G225" i="5"/>
  <c r="D225" i="5"/>
  <c r="C225" i="5"/>
  <c r="B225" i="5"/>
  <c r="AD224" i="5"/>
  <c r="AC224" i="5"/>
  <c r="AA224" i="5"/>
  <c r="Y224" i="5"/>
  <c r="X224" i="5"/>
  <c r="V224" i="5"/>
  <c r="T224" i="5"/>
  <c r="S224" i="5"/>
  <c r="Q224" i="5"/>
  <c r="O224" i="5"/>
  <c r="N224" i="5"/>
  <c r="L224" i="5"/>
  <c r="J224" i="5"/>
  <c r="I224" i="5"/>
  <c r="G224" i="5"/>
  <c r="D224" i="5"/>
  <c r="C224" i="5"/>
  <c r="B224" i="5"/>
  <c r="AD223" i="5"/>
  <c r="AC223" i="5"/>
  <c r="AA223" i="5"/>
  <c r="Y223" i="5"/>
  <c r="X223" i="5"/>
  <c r="V223" i="5"/>
  <c r="T223" i="5"/>
  <c r="S223" i="5"/>
  <c r="Q223" i="5"/>
  <c r="O223" i="5"/>
  <c r="N223" i="5"/>
  <c r="L223" i="5"/>
  <c r="J223" i="5"/>
  <c r="I223" i="5"/>
  <c r="G223" i="5"/>
  <c r="D223" i="5"/>
  <c r="C223" i="5"/>
  <c r="B223" i="5"/>
  <c r="AD222" i="5"/>
  <c r="AC222" i="5"/>
  <c r="AA222" i="5"/>
  <c r="Y222" i="5"/>
  <c r="X222" i="5"/>
  <c r="V222" i="5"/>
  <c r="T222" i="5"/>
  <c r="S222" i="5"/>
  <c r="Q222" i="5"/>
  <c r="O222" i="5"/>
  <c r="N222" i="5"/>
  <c r="L222" i="5"/>
  <c r="J222" i="5"/>
  <c r="I222" i="5"/>
  <c r="G222" i="5"/>
  <c r="D222" i="5"/>
  <c r="C222" i="5"/>
  <c r="B222" i="5"/>
  <c r="AD221" i="5"/>
  <c r="AC221" i="5"/>
  <c r="AA221" i="5"/>
  <c r="Y221" i="5"/>
  <c r="X221" i="5"/>
  <c r="V221" i="5"/>
  <c r="T221" i="5"/>
  <c r="S221" i="5"/>
  <c r="Q221" i="5"/>
  <c r="O221" i="5"/>
  <c r="N221" i="5"/>
  <c r="L221" i="5"/>
  <c r="J221" i="5"/>
  <c r="I221" i="5"/>
  <c r="G221" i="5"/>
  <c r="D221" i="5"/>
  <c r="C221" i="5"/>
  <c r="B221" i="5"/>
  <c r="AD220" i="5"/>
  <c r="AC220" i="5"/>
  <c r="AA220" i="5"/>
  <c r="Y220" i="5"/>
  <c r="X220" i="5"/>
  <c r="V220" i="5"/>
  <c r="T220" i="5"/>
  <c r="S220" i="5"/>
  <c r="Q220" i="5"/>
  <c r="O220" i="5"/>
  <c r="N220" i="5"/>
  <c r="L220" i="5"/>
  <c r="J220" i="5"/>
  <c r="I220" i="5"/>
  <c r="G220" i="5"/>
  <c r="D220" i="5"/>
  <c r="C220" i="5"/>
  <c r="B220" i="5"/>
  <c r="C218" i="5"/>
  <c r="AD214" i="5"/>
  <c r="AC214" i="5"/>
  <c r="AA214" i="5"/>
  <c r="Y214" i="5"/>
  <c r="X214" i="5"/>
  <c r="V214" i="5"/>
  <c r="T214" i="5"/>
  <c r="S214" i="5"/>
  <c r="Q214" i="5"/>
  <c r="O214" i="5"/>
  <c r="N214" i="5"/>
  <c r="L214" i="5"/>
  <c r="J214" i="5"/>
  <c r="I214" i="5"/>
  <c r="G214" i="5"/>
  <c r="D214" i="5"/>
  <c r="C214" i="5"/>
  <c r="B214" i="5"/>
  <c r="AD213" i="5"/>
  <c r="AC213" i="5"/>
  <c r="AA213" i="5"/>
  <c r="Y213" i="5"/>
  <c r="X213" i="5"/>
  <c r="V213" i="5"/>
  <c r="T213" i="5"/>
  <c r="S213" i="5"/>
  <c r="Q213" i="5"/>
  <c r="O213" i="5"/>
  <c r="N213" i="5"/>
  <c r="L213" i="5"/>
  <c r="J213" i="5"/>
  <c r="I213" i="5"/>
  <c r="G213" i="5"/>
  <c r="D213" i="5"/>
  <c r="C213" i="5"/>
  <c r="B213" i="5"/>
  <c r="AD212" i="5"/>
  <c r="AC212" i="5"/>
  <c r="AA212" i="5"/>
  <c r="Y212" i="5"/>
  <c r="X212" i="5"/>
  <c r="V212" i="5"/>
  <c r="T212" i="5"/>
  <c r="S212" i="5"/>
  <c r="Q212" i="5"/>
  <c r="O212" i="5"/>
  <c r="N212" i="5"/>
  <c r="L212" i="5"/>
  <c r="J212" i="5"/>
  <c r="I212" i="5"/>
  <c r="G212" i="5"/>
  <c r="D212" i="5"/>
  <c r="C212" i="5"/>
  <c r="B212" i="5"/>
  <c r="AD211" i="5"/>
  <c r="AC211" i="5"/>
  <c r="AA211" i="5"/>
  <c r="Y211" i="5"/>
  <c r="X211" i="5"/>
  <c r="V211" i="5"/>
  <c r="T211" i="5"/>
  <c r="S211" i="5"/>
  <c r="Q211" i="5"/>
  <c r="O211" i="5"/>
  <c r="N211" i="5"/>
  <c r="L211" i="5"/>
  <c r="J211" i="5"/>
  <c r="I211" i="5"/>
  <c r="G211" i="5"/>
  <c r="D211" i="5"/>
  <c r="C211" i="5"/>
  <c r="B211" i="5"/>
  <c r="AD210" i="5"/>
  <c r="AC210" i="5"/>
  <c r="AA210" i="5"/>
  <c r="Y210" i="5"/>
  <c r="X210" i="5"/>
  <c r="V210" i="5"/>
  <c r="T210" i="5"/>
  <c r="S210" i="5"/>
  <c r="Q210" i="5"/>
  <c r="O210" i="5"/>
  <c r="N210" i="5"/>
  <c r="L210" i="5"/>
  <c r="J210" i="5"/>
  <c r="I210" i="5"/>
  <c r="G210" i="5"/>
  <c r="D210" i="5"/>
  <c r="C210" i="5"/>
  <c r="B210" i="5"/>
  <c r="AD209" i="5"/>
  <c r="AC209" i="5"/>
  <c r="AA209" i="5"/>
  <c r="Y209" i="5"/>
  <c r="X209" i="5"/>
  <c r="V209" i="5"/>
  <c r="T209" i="5"/>
  <c r="S209" i="5"/>
  <c r="Q209" i="5"/>
  <c r="O209" i="5"/>
  <c r="N209" i="5"/>
  <c r="L209" i="5"/>
  <c r="J209" i="5"/>
  <c r="I209" i="5"/>
  <c r="G209" i="5"/>
  <c r="D209" i="5"/>
  <c r="C209" i="5"/>
  <c r="B209" i="5"/>
  <c r="AD208" i="5"/>
  <c r="AC208" i="5"/>
  <c r="AA208" i="5"/>
  <c r="Y208" i="5"/>
  <c r="X208" i="5"/>
  <c r="V208" i="5"/>
  <c r="T208" i="5"/>
  <c r="S208" i="5"/>
  <c r="Q208" i="5"/>
  <c r="O208" i="5"/>
  <c r="N208" i="5"/>
  <c r="L208" i="5"/>
  <c r="J208" i="5"/>
  <c r="I208" i="5"/>
  <c r="G208" i="5"/>
  <c r="D208" i="5"/>
  <c r="C208" i="5"/>
  <c r="B208" i="5"/>
  <c r="AD207" i="5"/>
  <c r="AC207" i="5"/>
  <c r="AA207" i="5"/>
  <c r="Y207" i="5"/>
  <c r="X207" i="5"/>
  <c r="V207" i="5"/>
  <c r="T207" i="5"/>
  <c r="S207" i="5"/>
  <c r="Q207" i="5"/>
  <c r="O207" i="5"/>
  <c r="N207" i="5"/>
  <c r="L207" i="5"/>
  <c r="J207" i="5"/>
  <c r="I207" i="5"/>
  <c r="G207" i="5"/>
  <c r="D207" i="5"/>
  <c r="C207" i="5"/>
  <c r="B207" i="5"/>
  <c r="AD206" i="5"/>
  <c r="AC206" i="5"/>
  <c r="AA206" i="5"/>
  <c r="Y206" i="5"/>
  <c r="X206" i="5"/>
  <c r="V206" i="5"/>
  <c r="T206" i="5"/>
  <c r="S206" i="5"/>
  <c r="Q206" i="5"/>
  <c r="O206" i="5"/>
  <c r="N206" i="5"/>
  <c r="L206" i="5"/>
  <c r="J206" i="5"/>
  <c r="I206" i="5"/>
  <c r="G206" i="5"/>
  <c r="D206" i="5"/>
  <c r="C206" i="5"/>
  <c r="B206" i="5"/>
  <c r="AD205" i="5"/>
  <c r="AC205" i="5"/>
  <c r="AA205" i="5"/>
  <c r="Y205" i="5"/>
  <c r="X205" i="5"/>
  <c r="V205" i="5"/>
  <c r="T205" i="5"/>
  <c r="S205" i="5"/>
  <c r="Q205" i="5"/>
  <c r="O205" i="5"/>
  <c r="N205" i="5"/>
  <c r="L205" i="5"/>
  <c r="J205" i="5"/>
  <c r="I205" i="5"/>
  <c r="G205" i="5"/>
  <c r="D205" i="5"/>
  <c r="C205" i="5"/>
  <c r="B205" i="5"/>
  <c r="AD204" i="5"/>
  <c r="AC204" i="5"/>
  <c r="AA204" i="5"/>
  <c r="Y204" i="5"/>
  <c r="X204" i="5"/>
  <c r="V204" i="5"/>
  <c r="T204" i="5"/>
  <c r="S204" i="5"/>
  <c r="Q204" i="5"/>
  <c r="O204" i="5"/>
  <c r="N204" i="5"/>
  <c r="L204" i="5"/>
  <c r="J204" i="5"/>
  <c r="I204" i="5"/>
  <c r="G204" i="5"/>
  <c r="D204" i="5"/>
  <c r="C204" i="5"/>
  <c r="B204" i="5"/>
  <c r="AD203" i="5"/>
  <c r="AC203" i="5"/>
  <c r="AA203" i="5"/>
  <c r="Y203" i="5"/>
  <c r="X203" i="5"/>
  <c r="V203" i="5"/>
  <c r="T203" i="5"/>
  <c r="S203" i="5"/>
  <c r="Q203" i="5"/>
  <c r="O203" i="5"/>
  <c r="N203" i="5"/>
  <c r="L203" i="5"/>
  <c r="J203" i="5"/>
  <c r="I203" i="5"/>
  <c r="G203" i="5"/>
  <c r="D203" i="5"/>
  <c r="C203" i="5"/>
  <c r="B203" i="5"/>
  <c r="AD202" i="5"/>
  <c r="AC202" i="5"/>
  <c r="AA202" i="5"/>
  <c r="Y202" i="5"/>
  <c r="X202" i="5"/>
  <c r="V202" i="5"/>
  <c r="T202" i="5"/>
  <c r="S202" i="5"/>
  <c r="Q202" i="5"/>
  <c r="O202" i="5"/>
  <c r="N202" i="5"/>
  <c r="L202" i="5"/>
  <c r="J202" i="5"/>
  <c r="I202" i="5"/>
  <c r="G202" i="5"/>
  <c r="D202" i="5"/>
  <c r="C202" i="5"/>
  <c r="B202" i="5"/>
  <c r="AD201" i="5"/>
  <c r="AC201" i="5"/>
  <c r="AA201" i="5"/>
  <c r="Y201" i="5"/>
  <c r="X201" i="5"/>
  <c r="V201" i="5"/>
  <c r="T201" i="5"/>
  <c r="S201" i="5"/>
  <c r="Q201" i="5"/>
  <c r="O201" i="5"/>
  <c r="N201" i="5"/>
  <c r="L201" i="5"/>
  <c r="J201" i="5"/>
  <c r="I201" i="5"/>
  <c r="G201" i="5"/>
  <c r="D201" i="5"/>
  <c r="C201" i="5"/>
  <c r="B201" i="5"/>
  <c r="AD200" i="5"/>
  <c r="AC200" i="5"/>
  <c r="AA200" i="5"/>
  <c r="Y200" i="5"/>
  <c r="X200" i="5"/>
  <c r="V200" i="5"/>
  <c r="T200" i="5"/>
  <c r="S200" i="5"/>
  <c r="Q200" i="5"/>
  <c r="O200" i="5"/>
  <c r="N200" i="5"/>
  <c r="L200" i="5"/>
  <c r="J200" i="5"/>
  <c r="I200" i="5"/>
  <c r="G200" i="5"/>
  <c r="D200" i="5"/>
  <c r="C200" i="5"/>
  <c r="B200" i="5"/>
  <c r="AD199" i="5"/>
  <c r="AC199" i="5"/>
  <c r="AA199" i="5"/>
  <c r="Y199" i="5"/>
  <c r="X199" i="5"/>
  <c r="V199" i="5"/>
  <c r="T199" i="5"/>
  <c r="S199" i="5"/>
  <c r="Q199" i="5"/>
  <c r="O199" i="5"/>
  <c r="N199" i="5"/>
  <c r="L199" i="5"/>
  <c r="J199" i="5"/>
  <c r="I199" i="5"/>
  <c r="G199" i="5"/>
  <c r="D199" i="5"/>
  <c r="C199" i="5"/>
  <c r="B199" i="5"/>
  <c r="AD198" i="5"/>
  <c r="AC198" i="5"/>
  <c r="AA198" i="5"/>
  <c r="Y198" i="5"/>
  <c r="X198" i="5"/>
  <c r="V198" i="5"/>
  <c r="T198" i="5"/>
  <c r="S198" i="5"/>
  <c r="Q198" i="5"/>
  <c r="O198" i="5"/>
  <c r="N198" i="5"/>
  <c r="L198" i="5"/>
  <c r="J198" i="5"/>
  <c r="I198" i="5"/>
  <c r="G198" i="5"/>
  <c r="D198" i="5"/>
  <c r="C198" i="5"/>
  <c r="B198" i="5"/>
  <c r="AD197" i="5"/>
  <c r="AC197" i="5"/>
  <c r="AA197" i="5"/>
  <c r="Y197" i="5"/>
  <c r="X197" i="5"/>
  <c r="V197" i="5"/>
  <c r="T197" i="5"/>
  <c r="S197" i="5"/>
  <c r="Q197" i="5"/>
  <c r="O197" i="5"/>
  <c r="N197" i="5"/>
  <c r="L197" i="5"/>
  <c r="J197" i="5"/>
  <c r="I197" i="5"/>
  <c r="G197" i="5"/>
  <c r="D197" i="5"/>
  <c r="C197" i="5"/>
  <c r="B197" i="5"/>
  <c r="AD196" i="5"/>
  <c r="AC196" i="5"/>
  <c r="AA196" i="5"/>
  <c r="Y196" i="5"/>
  <c r="X196" i="5"/>
  <c r="V196" i="5"/>
  <c r="T196" i="5"/>
  <c r="S196" i="5"/>
  <c r="Q196" i="5"/>
  <c r="O196" i="5"/>
  <c r="N196" i="5"/>
  <c r="L196" i="5"/>
  <c r="J196" i="5"/>
  <c r="I196" i="5"/>
  <c r="G196" i="5"/>
  <c r="D196" i="5"/>
  <c r="C196" i="5"/>
  <c r="B196" i="5"/>
  <c r="AD195" i="5"/>
  <c r="AC195" i="5"/>
  <c r="AA195" i="5"/>
  <c r="Y195" i="5"/>
  <c r="X195" i="5"/>
  <c r="V195" i="5"/>
  <c r="T195" i="5"/>
  <c r="S195" i="5"/>
  <c r="Q195" i="5"/>
  <c r="O195" i="5"/>
  <c r="N195" i="5"/>
  <c r="L195" i="5"/>
  <c r="J195" i="5"/>
  <c r="I195" i="5"/>
  <c r="G195" i="5"/>
  <c r="D195" i="5"/>
  <c r="C195" i="5"/>
  <c r="B195" i="5"/>
  <c r="C193" i="5"/>
  <c r="AD189" i="5"/>
  <c r="AC189" i="5"/>
  <c r="AA189" i="5"/>
  <c r="Y189" i="5"/>
  <c r="X189" i="5"/>
  <c r="V189" i="5"/>
  <c r="T189" i="5"/>
  <c r="S189" i="5"/>
  <c r="Q189" i="5"/>
  <c r="O189" i="5"/>
  <c r="N189" i="5"/>
  <c r="L189" i="5"/>
  <c r="J189" i="5"/>
  <c r="I189" i="5"/>
  <c r="G189" i="5"/>
  <c r="D189" i="5"/>
  <c r="C189" i="5"/>
  <c r="B189" i="5"/>
  <c r="AD188" i="5"/>
  <c r="AC188" i="5"/>
  <c r="AA188" i="5"/>
  <c r="Y188" i="5"/>
  <c r="X188" i="5"/>
  <c r="V188" i="5"/>
  <c r="T188" i="5"/>
  <c r="S188" i="5"/>
  <c r="Q188" i="5"/>
  <c r="O188" i="5"/>
  <c r="N188" i="5"/>
  <c r="L188" i="5"/>
  <c r="J188" i="5"/>
  <c r="I188" i="5"/>
  <c r="G188" i="5"/>
  <c r="D188" i="5"/>
  <c r="C188" i="5"/>
  <c r="B188" i="5"/>
  <c r="AD187" i="5"/>
  <c r="AC187" i="5"/>
  <c r="AA187" i="5"/>
  <c r="Y187" i="5"/>
  <c r="X187" i="5"/>
  <c r="V187" i="5"/>
  <c r="T187" i="5"/>
  <c r="S187" i="5"/>
  <c r="Q187" i="5"/>
  <c r="O187" i="5"/>
  <c r="N187" i="5"/>
  <c r="L187" i="5"/>
  <c r="J187" i="5"/>
  <c r="I187" i="5"/>
  <c r="G187" i="5"/>
  <c r="D187" i="5"/>
  <c r="C187" i="5"/>
  <c r="B187" i="5"/>
  <c r="AD186" i="5"/>
  <c r="AC186" i="5"/>
  <c r="AA186" i="5"/>
  <c r="Y186" i="5"/>
  <c r="X186" i="5"/>
  <c r="V186" i="5"/>
  <c r="T186" i="5"/>
  <c r="S186" i="5"/>
  <c r="Q186" i="5"/>
  <c r="O186" i="5"/>
  <c r="N186" i="5"/>
  <c r="L186" i="5"/>
  <c r="J186" i="5"/>
  <c r="I186" i="5"/>
  <c r="G186" i="5"/>
  <c r="D186" i="5"/>
  <c r="C186" i="5"/>
  <c r="B186" i="5"/>
  <c r="AD185" i="5"/>
  <c r="AC185" i="5"/>
  <c r="AA185" i="5"/>
  <c r="Y185" i="5"/>
  <c r="X185" i="5"/>
  <c r="V185" i="5"/>
  <c r="T185" i="5"/>
  <c r="S185" i="5"/>
  <c r="Q185" i="5"/>
  <c r="O185" i="5"/>
  <c r="N185" i="5"/>
  <c r="L185" i="5"/>
  <c r="J185" i="5"/>
  <c r="I185" i="5"/>
  <c r="G185" i="5"/>
  <c r="D185" i="5"/>
  <c r="C185" i="5"/>
  <c r="B185" i="5"/>
  <c r="AD184" i="5"/>
  <c r="AC184" i="5"/>
  <c r="AA184" i="5"/>
  <c r="Y184" i="5"/>
  <c r="X184" i="5"/>
  <c r="V184" i="5"/>
  <c r="T184" i="5"/>
  <c r="S184" i="5"/>
  <c r="Q184" i="5"/>
  <c r="O184" i="5"/>
  <c r="N184" i="5"/>
  <c r="L184" i="5"/>
  <c r="J184" i="5"/>
  <c r="I184" i="5"/>
  <c r="G184" i="5"/>
  <c r="D184" i="5"/>
  <c r="C184" i="5"/>
  <c r="B184" i="5"/>
  <c r="AD183" i="5"/>
  <c r="AC183" i="5"/>
  <c r="AA183" i="5"/>
  <c r="Y183" i="5"/>
  <c r="X183" i="5"/>
  <c r="V183" i="5"/>
  <c r="T183" i="5"/>
  <c r="S183" i="5"/>
  <c r="Q183" i="5"/>
  <c r="O183" i="5"/>
  <c r="N183" i="5"/>
  <c r="L183" i="5"/>
  <c r="J183" i="5"/>
  <c r="I183" i="5"/>
  <c r="G183" i="5"/>
  <c r="D183" i="5"/>
  <c r="C183" i="5"/>
  <c r="B183" i="5"/>
  <c r="AD182" i="5"/>
  <c r="AC182" i="5"/>
  <c r="AA182" i="5"/>
  <c r="Y182" i="5"/>
  <c r="X182" i="5"/>
  <c r="V182" i="5"/>
  <c r="T182" i="5"/>
  <c r="S182" i="5"/>
  <c r="Q182" i="5"/>
  <c r="O182" i="5"/>
  <c r="N182" i="5"/>
  <c r="L182" i="5"/>
  <c r="J182" i="5"/>
  <c r="I182" i="5"/>
  <c r="G182" i="5"/>
  <c r="D182" i="5"/>
  <c r="C182" i="5"/>
  <c r="B182" i="5"/>
  <c r="AD181" i="5"/>
  <c r="AC181" i="5"/>
  <c r="AA181" i="5"/>
  <c r="Y181" i="5"/>
  <c r="X181" i="5"/>
  <c r="V181" i="5"/>
  <c r="T181" i="5"/>
  <c r="S181" i="5"/>
  <c r="Q181" i="5"/>
  <c r="O181" i="5"/>
  <c r="N181" i="5"/>
  <c r="L181" i="5"/>
  <c r="J181" i="5"/>
  <c r="I181" i="5"/>
  <c r="G181" i="5"/>
  <c r="D181" i="5"/>
  <c r="C181" i="5"/>
  <c r="B181" i="5"/>
  <c r="AD180" i="5"/>
  <c r="AC180" i="5"/>
  <c r="AA180" i="5"/>
  <c r="Y180" i="5"/>
  <c r="X180" i="5"/>
  <c r="V180" i="5"/>
  <c r="T180" i="5"/>
  <c r="S180" i="5"/>
  <c r="Q180" i="5"/>
  <c r="O180" i="5"/>
  <c r="N180" i="5"/>
  <c r="L180" i="5"/>
  <c r="J180" i="5"/>
  <c r="I180" i="5"/>
  <c r="G180" i="5"/>
  <c r="D180" i="5"/>
  <c r="C180" i="5"/>
  <c r="B180" i="5"/>
  <c r="AD179" i="5"/>
  <c r="AC179" i="5"/>
  <c r="AA179" i="5"/>
  <c r="Y179" i="5"/>
  <c r="X179" i="5"/>
  <c r="V179" i="5"/>
  <c r="T179" i="5"/>
  <c r="S179" i="5"/>
  <c r="Q179" i="5"/>
  <c r="O179" i="5"/>
  <c r="N179" i="5"/>
  <c r="L179" i="5"/>
  <c r="J179" i="5"/>
  <c r="I179" i="5"/>
  <c r="G179" i="5"/>
  <c r="D179" i="5"/>
  <c r="C179" i="5"/>
  <c r="B179" i="5"/>
  <c r="AD178" i="5"/>
  <c r="AC178" i="5"/>
  <c r="AA178" i="5"/>
  <c r="Y178" i="5"/>
  <c r="X178" i="5"/>
  <c r="V178" i="5"/>
  <c r="T178" i="5"/>
  <c r="S178" i="5"/>
  <c r="Q178" i="5"/>
  <c r="O178" i="5"/>
  <c r="N178" i="5"/>
  <c r="L178" i="5"/>
  <c r="J178" i="5"/>
  <c r="I178" i="5"/>
  <c r="G178" i="5"/>
  <c r="D178" i="5"/>
  <c r="C178" i="5"/>
  <c r="B178" i="5"/>
  <c r="AD177" i="5"/>
  <c r="AC177" i="5"/>
  <c r="AA177" i="5"/>
  <c r="Y177" i="5"/>
  <c r="X177" i="5"/>
  <c r="V177" i="5"/>
  <c r="T177" i="5"/>
  <c r="S177" i="5"/>
  <c r="Q177" i="5"/>
  <c r="O177" i="5"/>
  <c r="N177" i="5"/>
  <c r="L177" i="5"/>
  <c r="J177" i="5"/>
  <c r="I177" i="5"/>
  <c r="G177" i="5"/>
  <c r="D177" i="5"/>
  <c r="C177" i="5"/>
  <c r="B177" i="5"/>
  <c r="AD176" i="5"/>
  <c r="AC176" i="5"/>
  <c r="AA176" i="5"/>
  <c r="Y176" i="5"/>
  <c r="X176" i="5"/>
  <c r="V176" i="5"/>
  <c r="T176" i="5"/>
  <c r="S176" i="5"/>
  <c r="Q176" i="5"/>
  <c r="O176" i="5"/>
  <c r="N176" i="5"/>
  <c r="L176" i="5"/>
  <c r="J176" i="5"/>
  <c r="I176" i="5"/>
  <c r="G176" i="5"/>
  <c r="D176" i="5"/>
  <c r="C176" i="5"/>
  <c r="B176" i="5"/>
  <c r="AD175" i="5"/>
  <c r="AC175" i="5"/>
  <c r="AA175" i="5"/>
  <c r="Y175" i="5"/>
  <c r="X175" i="5"/>
  <c r="V175" i="5"/>
  <c r="T175" i="5"/>
  <c r="S175" i="5"/>
  <c r="Q175" i="5"/>
  <c r="O175" i="5"/>
  <c r="N175" i="5"/>
  <c r="L175" i="5"/>
  <c r="J175" i="5"/>
  <c r="I175" i="5"/>
  <c r="G175" i="5"/>
  <c r="D175" i="5"/>
  <c r="C175" i="5"/>
  <c r="B175" i="5"/>
  <c r="AD174" i="5"/>
  <c r="AC174" i="5"/>
  <c r="AA174" i="5"/>
  <c r="Y174" i="5"/>
  <c r="X174" i="5"/>
  <c r="V174" i="5"/>
  <c r="T174" i="5"/>
  <c r="S174" i="5"/>
  <c r="Q174" i="5"/>
  <c r="O174" i="5"/>
  <c r="N174" i="5"/>
  <c r="L174" i="5"/>
  <c r="J174" i="5"/>
  <c r="I174" i="5"/>
  <c r="G174" i="5"/>
  <c r="D174" i="5"/>
  <c r="C174" i="5"/>
  <c r="B174" i="5"/>
  <c r="AD173" i="5"/>
  <c r="AC173" i="5"/>
  <c r="AA173" i="5"/>
  <c r="Y173" i="5"/>
  <c r="X173" i="5"/>
  <c r="V173" i="5"/>
  <c r="T173" i="5"/>
  <c r="S173" i="5"/>
  <c r="Q173" i="5"/>
  <c r="O173" i="5"/>
  <c r="N173" i="5"/>
  <c r="L173" i="5"/>
  <c r="J173" i="5"/>
  <c r="I173" i="5"/>
  <c r="G173" i="5"/>
  <c r="D173" i="5"/>
  <c r="C173" i="5"/>
  <c r="B173" i="5"/>
  <c r="AD172" i="5"/>
  <c r="AC172" i="5"/>
  <c r="AA172" i="5"/>
  <c r="Y172" i="5"/>
  <c r="X172" i="5"/>
  <c r="V172" i="5"/>
  <c r="T172" i="5"/>
  <c r="S172" i="5"/>
  <c r="Q172" i="5"/>
  <c r="O172" i="5"/>
  <c r="N172" i="5"/>
  <c r="L172" i="5"/>
  <c r="J172" i="5"/>
  <c r="I172" i="5"/>
  <c r="G172" i="5"/>
  <c r="D172" i="5"/>
  <c r="C172" i="5"/>
  <c r="B172" i="5"/>
  <c r="AD171" i="5"/>
  <c r="AC171" i="5"/>
  <c r="AA171" i="5"/>
  <c r="Y171" i="5"/>
  <c r="X171" i="5"/>
  <c r="V171" i="5"/>
  <c r="T171" i="5"/>
  <c r="S171" i="5"/>
  <c r="Q171" i="5"/>
  <c r="O171" i="5"/>
  <c r="N171" i="5"/>
  <c r="L171" i="5"/>
  <c r="J171" i="5"/>
  <c r="I171" i="5"/>
  <c r="G171" i="5"/>
  <c r="D171" i="5"/>
  <c r="C171" i="5"/>
  <c r="B171" i="5"/>
  <c r="AD170" i="5"/>
  <c r="AC170" i="5"/>
  <c r="AA170" i="5"/>
  <c r="Y170" i="5"/>
  <c r="X170" i="5"/>
  <c r="V170" i="5"/>
  <c r="T170" i="5"/>
  <c r="S170" i="5"/>
  <c r="Q170" i="5"/>
  <c r="O170" i="5"/>
  <c r="N170" i="5"/>
  <c r="L170" i="5"/>
  <c r="J170" i="5"/>
  <c r="I170" i="5"/>
  <c r="G170" i="5"/>
  <c r="D170" i="5"/>
  <c r="C170" i="5"/>
  <c r="B170" i="5"/>
  <c r="C168" i="5"/>
  <c r="Y165" i="5"/>
  <c r="AD164" i="5"/>
  <c r="AC164" i="5"/>
  <c r="AA164" i="5"/>
  <c r="Y164" i="5"/>
  <c r="X164" i="5"/>
  <c r="V164" i="5"/>
  <c r="T164" i="5"/>
  <c r="S164" i="5"/>
  <c r="Q164" i="5"/>
  <c r="O164" i="5"/>
  <c r="N164" i="5"/>
  <c r="L164" i="5"/>
  <c r="J164" i="5"/>
  <c r="I164" i="5"/>
  <c r="G164" i="5"/>
  <c r="D164" i="5"/>
  <c r="C164" i="5"/>
  <c r="B164" i="5"/>
  <c r="AD163" i="5"/>
  <c r="AC163" i="5"/>
  <c r="AA163" i="5"/>
  <c r="Y163" i="5"/>
  <c r="X163" i="5"/>
  <c r="V163" i="5"/>
  <c r="T163" i="5"/>
  <c r="S163" i="5"/>
  <c r="Q163" i="5"/>
  <c r="O163" i="5"/>
  <c r="N163" i="5"/>
  <c r="L163" i="5"/>
  <c r="J163" i="5"/>
  <c r="I163" i="5"/>
  <c r="G163" i="5"/>
  <c r="D163" i="5"/>
  <c r="C163" i="5"/>
  <c r="B163" i="5"/>
  <c r="AD162" i="5"/>
  <c r="AC162" i="5"/>
  <c r="AA162" i="5"/>
  <c r="Y162" i="5"/>
  <c r="X162" i="5"/>
  <c r="V162" i="5"/>
  <c r="T162" i="5"/>
  <c r="S162" i="5"/>
  <c r="Q162" i="5"/>
  <c r="O162" i="5"/>
  <c r="N162" i="5"/>
  <c r="L162" i="5"/>
  <c r="J162" i="5"/>
  <c r="I162" i="5"/>
  <c r="G162" i="5"/>
  <c r="D162" i="5"/>
  <c r="C162" i="5"/>
  <c r="B162" i="5"/>
  <c r="AD161" i="5"/>
  <c r="AC161" i="5"/>
  <c r="AA161" i="5"/>
  <c r="Y161" i="5"/>
  <c r="X161" i="5"/>
  <c r="V161" i="5"/>
  <c r="T161" i="5"/>
  <c r="S161" i="5"/>
  <c r="Q161" i="5"/>
  <c r="O161" i="5"/>
  <c r="N161" i="5"/>
  <c r="L161" i="5"/>
  <c r="J161" i="5"/>
  <c r="I161" i="5"/>
  <c r="G161" i="5"/>
  <c r="D161" i="5"/>
  <c r="C161" i="5"/>
  <c r="B161" i="5"/>
  <c r="AD160" i="5"/>
  <c r="AC160" i="5"/>
  <c r="AA160" i="5"/>
  <c r="Y160" i="5"/>
  <c r="X160" i="5"/>
  <c r="V160" i="5"/>
  <c r="T160" i="5"/>
  <c r="S160" i="5"/>
  <c r="Q160" i="5"/>
  <c r="O160" i="5"/>
  <c r="N160" i="5"/>
  <c r="L160" i="5"/>
  <c r="J160" i="5"/>
  <c r="I160" i="5"/>
  <c r="G160" i="5"/>
  <c r="D160" i="5"/>
  <c r="C160" i="5"/>
  <c r="B160" i="5"/>
  <c r="AD159" i="5"/>
  <c r="AC159" i="5"/>
  <c r="AA159" i="5"/>
  <c r="Y159" i="5"/>
  <c r="X159" i="5"/>
  <c r="V159" i="5"/>
  <c r="T159" i="5"/>
  <c r="S159" i="5"/>
  <c r="Q159" i="5"/>
  <c r="O159" i="5"/>
  <c r="N159" i="5"/>
  <c r="L159" i="5"/>
  <c r="J159" i="5"/>
  <c r="I159" i="5"/>
  <c r="G159" i="5"/>
  <c r="D159" i="5"/>
  <c r="C159" i="5"/>
  <c r="B159" i="5"/>
  <c r="AD158" i="5"/>
  <c r="AC158" i="5"/>
  <c r="AA158" i="5"/>
  <c r="Y158" i="5"/>
  <c r="X158" i="5"/>
  <c r="V158" i="5"/>
  <c r="T158" i="5"/>
  <c r="S158" i="5"/>
  <c r="Q158" i="5"/>
  <c r="O158" i="5"/>
  <c r="N158" i="5"/>
  <c r="L158" i="5"/>
  <c r="J158" i="5"/>
  <c r="I158" i="5"/>
  <c r="G158" i="5"/>
  <c r="D158" i="5"/>
  <c r="C158" i="5"/>
  <c r="B158" i="5"/>
  <c r="AD157" i="5"/>
  <c r="AC157" i="5"/>
  <c r="AA157" i="5"/>
  <c r="Y157" i="5"/>
  <c r="X157" i="5"/>
  <c r="V157" i="5"/>
  <c r="T157" i="5"/>
  <c r="S157" i="5"/>
  <c r="Q157" i="5"/>
  <c r="O157" i="5"/>
  <c r="N157" i="5"/>
  <c r="L157" i="5"/>
  <c r="J157" i="5"/>
  <c r="I157" i="5"/>
  <c r="G157" i="5"/>
  <c r="D157" i="5"/>
  <c r="C157" i="5"/>
  <c r="B157" i="5"/>
  <c r="AD156" i="5"/>
  <c r="AC156" i="5"/>
  <c r="AA156" i="5"/>
  <c r="Y156" i="5"/>
  <c r="X156" i="5"/>
  <c r="V156" i="5"/>
  <c r="T156" i="5"/>
  <c r="S156" i="5"/>
  <c r="Q156" i="5"/>
  <c r="O156" i="5"/>
  <c r="N156" i="5"/>
  <c r="L156" i="5"/>
  <c r="J156" i="5"/>
  <c r="I156" i="5"/>
  <c r="G156" i="5"/>
  <c r="D156" i="5"/>
  <c r="C156" i="5"/>
  <c r="B156" i="5"/>
  <c r="AD155" i="5"/>
  <c r="AC155" i="5"/>
  <c r="AA155" i="5"/>
  <c r="Y155" i="5"/>
  <c r="X155" i="5"/>
  <c r="V155" i="5"/>
  <c r="T155" i="5"/>
  <c r="S155" i="5"/>
  <c r="Q155" i="5"/>
  <c r="O155" i="5"/>
  <c r="N155" i="5"/>
  <c r="L155" i="5"/>
  <c r="J155" i="5"/>
  <c r="I155" i="5"/>
  <c r="G155" i="5"/>
  <c r="D155" i="5"/>
  <c r="C155" i="5"/>
  <c r="B155" i="5"/>
  <c r="AD154" i="5"/>
  <c r="AC154" i="5"/>
  <c r="AA154" i="5"/>
  <c r="Y154" i="5"/>
  <c r="X154" i="5"/>
  <c r="V154" i="5"/>
  <c r="T154" i="5"/>
  <c r="S154" i="5"/>
  <c r="Q154" i="5"/>
  <c r="O154" i="5"/>
  <c r="N154" i="5"/>
  <c r="L154" i="5"/>
  <c r="J154" i="5"/>
  <c r="I154" i="5"/>
  <c r="G154" i="5"/>
  <c r="D154" i="5"/>
  <c r="C154" i="5"/>
  <c r="B154" i="5"/>
  <c r="AD153" i="5"/>
  <c r="AC153" i="5"/>
  <c r="AA153" i="5"/>
  <c r="Y153" i="5"/>
  <c r="X153" i="5"/>
  <c r="V153" i="5"/>
  <c r="T153" i="5"/>
  <c r="S153" i="5"/>
  <c r="Q153" i="5"/>
  <c r="O153" i="5"/>
  <c r="N153" i="5"/>
  <c r="L153" i="5"/>
  <c r="J153" i="5"/>
  <c r="I153" i="5"/>
  <c r="G153" i="5"/>
  <c r="D153" i="5"/>
  <c r="C153" i="5"/>
  <c r="B153" i="5"/>
  <c r="AD152" i="5"/>
  <c r="AC152" i="5"/>
  <c r="AA152" i="5"/>
  <c r="Y152" i="5"/>
  <c r="X152" i="5"/>
  <c r="V152" i="5"/>
  <c r="T152" i="5"/>
  <c r="S152" i="5"/>
  <c r="Q152" i="5"/>
  <c r="O152" i="5"/>
  <c r="N152" i="5"/>
  <c r="L152" i="5"/>
  <c r="J152" i="5"/>
  <c r="I152" i="5"/>
  <c r="G152" i="5"/>
  <c r="D152" i="5"/>
  <c r="C152" i="5"/>
  <c r="B152" i="5"/>
  <c r="AD151" i="5"/>
  <c r="AC151" i="5"/>
  <c r="AA151" i="5"/>
  <c r="Y151" i="5"/>
  <c r="X151" i="5"/>
  <c r="V151" i="5"/>
  <c r="T151" i="5"/>
  <c r="S151" i="5"/>
  <c r="Q151" i="5"/>
  <c r="O151" i="5"/>
  <c r="N151" i="5"/>
  <c r="L151" i="5"/>
  <c r="J151" i="5"/>
  <c r="I151" i="5"/>
  <c r="G151" i="5"/>
  <c r="D151" i="5"/>
  <c r="C151" i="5"/>
  <c r="B151" i="5"/>
  <c r="AD150" i="5"/>
  <c r="AC150" i="5"/>
  <c r="AA150" i="5"/>
  <c r="Y150" i="5"/>
  <c r="X150" i="5"/>
  <c r="V150" i="5"/>
  <c r="T150" i="5"/>
  <c r="S150" i="5"/>
  <c r="Q150" i="5"/>
  <c r="O150" i="5"/>
  <c r="N150" i="5"/>
  <c r="L150" i="5"/>
  <c r="J150" i="5"/>
  <c r="I150" i="5"/>
  <c r="G150" i="5"/>
  <c r="D150" i="5"/>
  <c r="C150" i="5"/>
  <c r="B150" i="5"/>
  <c r="AD149" i="5"/>
  <c r="AC149" i="5"/>
  <c r="AA149" i="5"/>
  <c r="Y149" i="5"/>
  <c r="X149" i="5"/>
  <c r="V149" i="5"/>
  <c r="T149" i="5"/>
  <c r="S149" i="5"/>
  <c r="Q149" i="5"/>
  <c r="O149" i="5"/>
  <c r="N149" i="5"/>
  <c r="L149" i="5"/>
  <c r="J149" i="5"/>
  <c r="I149" i="5"/>
  <c r="G149" i="5"/>
  <c r="D149" i="5"/>
  <c r="C149" i="5"/>
  <c r="B149" i="5"/>
  <c r="AD148" i="5"/>
  <c r="AC148" i="5"/>
  <c r="AA148" i="5"/>
  <c r="Y148" i="5"/>
  <c r="X148" i="5"/>
  <c r="V148" i="5"/>
  <c r="T148" i="5"/>
  <c r="S148" i="5"/>
  <c r="Q148" i="5"/>
  <c r="O148" i="5"/>
  <c r="N148" i="5"/>
  <c r="L148" i="5"/>
  <c r="J148" i="5"/>
  <c r="I148" i="5"/>
  <c r="G148" i="5"/>
  <c r="D148" i="5"/>
  <c r="C148" i="5"/>
  <c r="B148" i="5"/>
  <c r="AD147" i="5"/>
  <c r="AC147" i="5"/>
  <c r="AA147" i="5"/>
  <c r="Y147" i="5"/>
  <c r="X147" i="5"/>
  <c r="V147" i="5"/>
  <c r="T147" i="5"/>
  <c r="S147" i="5"/>
  <c r="Q147" i="5"/>
  <c r="O147" i="5"/>
  <c r="N147" i="5"/>
  <c r="L147" i="5"/>
  <c r="J147" i="5"/>
  <c r="I147" i="5"/>
  <c r="G147" i="5"/>
  <c r="D147" i="5"/>
  <c r="C147" i="5"/>
  <c r="B147" i="5"/>
  <c r="AD146" i="5"/>
  <c r="AC146" i="5"/>
  <c r="AA146" i="5"/>
  <c r="Y146" i="5"/>
  <c r="X146" i="5"/>
  <c r="V146" i="5"/>
  <c r="T146" i="5"/>
  <c r="S146" i="5"/>
  <c r="Q146" i="5"/>
  <c r="O146" i="5"/>
  <c r="N146" i="5"/>
  <c r="L146" i="5"/>
  <c r="J146" i="5"/>
  <c r="I146" i="5"/>
  <c r="G146" i="5"/>
  <c r="D146" i="5"/>
  <c r="C146" i="5"/>
  <c r="B146" i="5"/>
  <c r="AD145" i="5"/>
  <c r="AC145" i="5"/>
  <c r="AA145" i="5"/>
  <c r="Y145" i="5"/>
  <c r="X145" i="5"/>
  <c r="V145" i="5"/>
  <c r="T145" i="5"/>
  <c r="S145" i="5"/>
  <c r="Q145" i="5"/>
  <c r="O145" i="5"/>
  <c r="N145" i="5"/>
  <c r="L145" i="5"/>
  <c r="J145" i="5"/>
  <c r="I145" i="5"/>
  <c r="G145" i="5"/>
  <c r="D145" i="5"/>
  <c r="C145" i="5"/>
  <c r="B145" i="5"/>
  <c r="C143" i="5"/>
  <c r="AD139" i="5"/>
  <c r="AC139" i="5"/>
  <c r="AA139" i="5"/>
  <c r="Y139" i="5"/>
  <c r="X139" i="5"/>
  <c r="V139" i="5"/>
  <c r="T139" i="5"/>
  <c r="S139" i="5"/>
  <c r="Q139" i="5"/>
  <c r="O139" i="5"/>
  <c r="N139" i="5"/>
  <c r="L139" i="5"/>
  <c r="J139" i="5"/>
  <c r="I139" i="5"/>
  <c r="G139" i="5"/>
  <c r="D139" i="5"/>
  <c r="C139" i="5"/>
  <c r="B139" i="5"/>
  <c r="AD138" i="5"/>
  <c r="AC138" i="5"/>
  <c r="AA138" i="5"/>
  <c r="Y138" i="5"/>
  <c r="X138" i="5"/>
  <c r="V138" i="5"/>
  <c r="T138" i="5"/>
  <c r="S138" i="5"/>
  <c r="Q138" i="5"/>
  <c r="O138" i="5"/>
  <c r="N138" i="5"/>
  <c r="L138" i="5"/>
  <c r="J138" i="5"/>
  <c r="I138" i="5"/>
  <c r="G138" i="5"/>
  <c r="D138" i="5"/>
  <c r="C138" i="5"/>
  <c r="B138" i="5"/>
  <c r="AD137" i="5"/>
  <c r="AC137" i="5"/>
  <c r="AA137" i="5"/>
  <c r="Y137" i="5"/>
  <c r="X137" i="5"/>
  <c r="V137" i="5"/>
  <c r="T137" i="5"/>
  <c r="S137" i="5"/>
  <c r="Q137" i="5"/>
  <c r="O137" i="5"/>
  <c r="N137" i="5"/>
  <c r="L137" i="5"/>
  <c r="J137" i="5"/>
  <c r="I137" i="5"/>
  <c r="G137" i="5"/>
  <c r="D137" i="5"/>
  <c r="C137" i="5"/>
  <c r="B137" i="5"/>
  <c r="AD136" i="5"/>
  <c r="AC136" i="5"/>
  <c r="AA136" i="5"/>
  <c r="Y136" i="5"/>
  <c r="X136" i="5"/>
  <c r="V136" i="5"/>
  <c r="T136" i="5"/>
  <c r="S136" i="5"/>
  <c r="Q136" i="5"/>
  <c r="O136" i="5"/>
  <c r="N136" i="5"/>
  <c r="L136" i="5"/>
  <c r="J136" i="5"/>
  <c r="I136" i="5"/>
  <c r="G136" i="5"/>
  <c r="D136" i="5"/>
  <c r="C136" i="5"/>
  <c r="B136" i="5"/>
  <c r="AD135" i="5"/>
  <c r="AC135" i="5"/>
  <c r="AA135" i="5"/>
  <c r="Y135" i="5"/>
  <c r="X135" i="5"/>
  <c r="V135" i="5"/>
  <c r="T135" i="5"/>
  <c r="S135" i="5"/>
  <c r="Q135" i="5"/>
  <c r="O135" i="5"/>
  <c r="N135" i="5"/>
  <c r="L135" i="5"/>
  <c r="J135" i="5"/>
  <c r="I135" i="5"/>
  <c r="G135" i="5"/>
  <c r="D135" i="5"/>
  <c r="C135" i="5"/>
  <c r="B135" i="5"/>
  <c r="AD134" i="5"/>
  <c r="AC134" i="5"/>
  <c r="AA134" i="5"/>
  <c r="Y134" i="5"/>
  <c r="X134" i="5"/>
  <c r="V134" i="5"/>
  <c r="T134" i="5"/>
  <c r="S134" i="5"/>
  <c r="Q134" i="5"/>
  <c r="O134" i="5"/>
  <c r="N134" i="5"/>
  <c r="L134" i="5"/>
  <c r="J134" i="5"/>
  <c r="I134" i="5"/>
  <c r="G134" i="5"/>
  <c r="D134" i="5"/>
  <c r="C134" i="5"/>
  <c r="B134" i="5"/>
  <c r="AD133" i="5"/>
  <c r="AC133" i="5"/>
  <c r="AA133" i="5"/>
  <c r="Y133" i="5"/>
  <c r="X133" i="5"/>
  <c r="V133" i="5"/>
  <c r="T133" i="5"/>
  <c r="S133" i="5"/>
  <c r="Q133" i="5"/>
  <c r="O133" i="5"/>
  <c r="N133" i="5"/>
  <c r="L133" i="5"/>
  <c r="J133" i="5"/>
  <c r="I133" i="5"/>
  <c r="G133" i="5"/>
  <c r="D133" i="5"/>
  <c r="C133" i="5"/>
  <c r="B133" i="5"/>
  <c r="AD132" i="5"/>
  <c r="AC132" i="5"/>
  <c r="AA132" i="5"/>
  <c r="Y132" i="5"/>
  <c r="X132" i="5"/>
  <c r="V132" i="5"/>
  <c r="T132" i="5"/>
  <c r="S132" i="5"/>
  <c r="Q132" i="5"/>
  <c r="O132" i="5"/>
  <c r="N132" i="5"/>
  <c r="L132" i="5"/>
  <c r="J132" i="5"/>
  <c r="I132" i="5"/>
  <c r="G132" i="5"/>
  <c r="D132" i="5"/>
  <c r="C132" i="5"/>
  <c r="B132" i="5"/>
  <c r="AD131" i="5"/>
  <c r="AC131" i="5"/>
  <c r="AA131" i="5"/>
  <c r="Y131" i="5"/>
  <c r="X131" i="5"/>
  <c r="V131" i="5"/>
  <c r="T131" i="5"/>
  <c r="S131" i="5"/>
  <c r="Q131" i="5"/>
  <c r="O131" i="5"/>
  <c r="N131" i="5"/>
  <c r="L131" i="5"/>
  <c r="J131" i="5"/>
  <c r="I131" i="5"/>
  <c r="G131" i="5"/>
  <c r="D131" i="5"/>
  <c r="C131" i="5"/>
  <c r="B131" i="5"/>
  <c r="AD130" i="5"/>
  <c r="AC130" i="5"/>
  <c r="AA130" i="5"/>
  <c r="Y130" i="5"/>
  <c r="X130" i="5"/>
  <c r="V130" i="5"/>
  <c r="T130" i="5"/>
  <c r="S130" i="5"/>
  <c r="Q130" i="5"/>
  <c r="O130" i="5"/>
  <c r="N130" i="5"/>
  <c r="L130" i="5"/>
  <c r="J130" i="5"/>
  <c r="I130" i="5"/>
  <c r="G130" i="5"/>
  <c r="D130" i="5"/>
  <c r="C130" i="5"/>
  <c r="B130" i="5"/>
  <c r="AD129" i="5"/>
  <c r="AC129" i="5"/>
  <c r="AA129" i="5"/>
  <c r="Y129" i="5"/>
  <c r="X129" i="5"/>
  <c r="V129" i="5"/>
  <c r="T129" i="5"/>
  <c r="S129" i="5"/>
  <c r="Q129" i="5"/>
  <c r="O129" i="5"/>
  <c r="N129" i="5"/>
  <c r="L129" i="5"/>
  <c r="J129" i="5"/>
  <c r="I129" i="5"/>
  <c r="G129" i="5"/>
  <c r="D129" i="5"/>
  <c r="C129" i="5"/>
  <c r="B129" i="5"/>
  <c r="AD128" i="5"/>
  <c r="AC128" i="5"/>
  <c r="AA128" i="5"/>
  <c r="Y128" i="5"/>
  <c r="X128" i="5"/>
  <c r="V128" i="5"/>
  <c r="T128" i="5"/>
  <c r="S128" i="5"/>
  <c r="Q128" i="5"/>
  <c r="O128" i="5"/>
  <c r="N128" i="5"/>
  <c r="L128" i="5"/>
  <c r="J128" i="5"/>
  <c r="I128" i="5"/>
  <c r="G128" i="5"/>
  <c r="D128" i="5"/>
  <c r="C128" i="5"/>
  <c r="B128" i="5"/>
  <c r="AD127" i="5"/>
  <c r="AC127" i="5"/>
  <c r="AA127" i="5"/>
  <c r="Y127" i="5"/>
  <c r="X127" i="5"/>
  <c r="V127" i="5"/>
  <c r="T127" i="5"/>
  <c r="S127" i="5"/>
  <c r="Q127" i="5"/>
  <c r="O127" i="5"/>
  <c r="N127" i="5"/>
  <c r="L127" i="5"/>
  <c r="J127" i="5"/>
  <c r="I127" i="5"/>
  <c r="G127" i="5"/>
  <c r="D127" i="5"/>
  <c r="C127" i="5"/>
  <c r="B127" i="5"/>
  <c r="AD126" i="5"/>
  <c r="AC126" i="5"/>
  <c r="AA126" i="5"/>
  <c r="Y126" i="5"/>
  <c r="X126" i="5"/>
  <c r="V126" i="5"/>
  <c r="T126" i="5"/>
  <c r="S126" i="5"/>
  <c r="Q126" i="5"/>
  <c r="O126" i="5"/>
  <c r="N126" i="5"/>
  <c r="L126" i="5"/>
  <c r="J126" i="5"/>
  <c r="I126" i="5"/>
  <c r="G126" i="5"/>
  <c r="D126" i="5"/>
  <c r="C126" i="5"/>
  <c r="B126" i="5"/>
  <c r="AD125" i="5"/>
  <c r="AC125" i="5"/>
  <c r="AA125" i="5"/>
  <c r="Y125" i="5"/>
  <c r="X125" i="5"/>
  <c r="V125" i="5"/>
  <c r="T125" i="5"/>
  <c r="S125" i="5"/>
  <c r="Q125" i="5"/>
  <c r="O125" i="5"/>
  <c r="N125" i="5"/>
  <c r="L125" i="5"/>
  <c r="J125" i="5"/>
  <c r="I125" i="5"/>
  <c r="G125" i="5"/>
  <c r="D125" i="5"/>
  <c r="C125" i="5"/>
  <c r="B125" i="5"/>
  <c r="AD124" i="5"/>
  <c r="AC124" i="5"/>
  <c r="AA124" i="5"/>
  <c r="Y124" i="5"/>
  <c r="X124" i="5"/>
  <c r="V124" i="5"/>
  <c r="T124" i="5"/>
  <c r="S124" i="5"/>
  <c r="Q124" i="5"/>
  <c r="O124" i="5"/>
  <c r="N124" i="5"/>
  <c r="L124" i="5"/>
  <c r="J124" i="5"/>
  <c r="I124" i="5"/>
  <c r="G124" i="5"/>
  <c r="D124" i="5"/>
  <c r="C124" i="5"/>
  <c r="B124" i="5"/>
  <c r="AD123" i="5"/>
  <c r="AC123" i="5"/>
  <c r="AA123" i="5"/>
  <c r="Y123" i="5"/>
  <c r="X123" i="5"/>
  <c r="V123" i="5"/>
  <c r="T123" i="5"/>
  <c r="S123" i="5"/>
  <c r="Q123" i="5"/>
  <c r="O123" i="5"/>
  <c r="N123" i="5"/>
  <c r="L123" i="5"/>
  <c r="J123" i="5"/>
  <c r="I123" i="5"/>
  <c r="G123" i="5"/>
  <c r="D123" i="5"/>
  <c r="C123" i="5"/>
  <c r="B123" i="5"/>
  <c r="AD122" i="5"/>
  <c r="AC122" i="5"/>
  <c r="AA122" i="5"/>
  <c r="Y122" i="5"/>
  <c r="X122" i="5"/>
  <c r="V122" i="5"/>
  <c r="T122" i="5"/>
  <c r="S122" i="5"/>
  <c r="Q122" i="5"/>
  <c r="O122" i="5"/>
  <c r="N122" i="5"/>
  <c r="L122" i="5"/>
  <c r="J122" i="5"/>
  <c r="I122" i="5"/>
  <c r="G122" i="5"/>
  <c r="D122" i="5"/>
  <c r="C122" i="5"/>
  <c r="B122" i="5"/>
  <c r="AD121" i="5"/>
  <c r="AC121" i="5"/>
  <c r="AA121" i="5"/>
  <c r="Y121" i="5"/>
  <c r="X121" i="5"/>
  <c r="V121" i="5"/>
  <c r="T121" i="5"/>
  <c r="S121" i="5"/>
  <c r="Q121" i="5"/>
  <c r="O121" i="5"/>
  <c r="N121" i="5"/>
  <c r="L121" i="5"/>
  <c r="J121" i="5"/>
  <c r="I121" i="5"/>
  <c r="G121" i="5"/>
  <c r="D121" i="5"/>
  <c r="C121" i="5"/>
  <c r="B121" i="5"/>
  <c r="AD120" i="5"/>
  <c r="AC120" i="5"/>
  <c r="AA120" i="5"/>
  <c r="Y120" i="5"/>
  <c r="X120" i="5"/>
  <c r="V120" i="5"/>
  <c r="T120" i="5"/>
  <c r="S120" i="5"/>
  <c r="Q120" i="5"/>
  <c r="O120" i="5"/>
  <c r="N120" i="5"/>
  <c r="L120" i="5"/>
  <c r="J120" i="5"/>
  <c r="I120" i="5"/>
  <c r="G120" i="5"/>
  <c r="D120" i="5"/>
  <c r="C120" i="5"/>
  <c r="B120" i="5"/>
  <c r="C118" i="5"/>
  <c r="AD115" i="5"/>
  <c r="AC115" i="5"/>
  <c r="AA115" i="5"/>
  <c r="Y115" i="5"/>
  <c r="X115" i="5"/>
  <c r="V115" i="5"/>
  <c r="T115" i="5"/>
  <c r="S115" i="5"/>
  <c r="Q115" i="5"/>
  <c r="O115" i="5"/>
  <c r="N115" i="5"/>
  <c r="L115" i="5"/>
  <c r="J115" i="5"/>
  <c r="I115" i="5"/>
  <c r="G115" i="5"/>
  <c r="D115" i="5"/>
  <c r="C115" i="5"/>
  <c r="B115" i="5"/>
  <c r="AD114" i="5"/>
  <c r="AC114" i="5"/>
  <c r="AA114" i="5"/>
  <c r="Y114" i="5"/>
  <c r="X114" i="5"/>
  <c r="V114" i="5"/>
  <c r="T114" i="5"/>
  <c r="S114" i="5"/>
  <c r="Q114" i="5"/>
  <c r="O114" i="5"/>
  <c r="N114" i="5"/>
  <c r="L114" i="5"/>
  <c r="J114" i="5"/>
  <c r="I114" i="5"/>
  <c r="G114" i="5"/>
  <c r="D114" i="5"/>
  <c r="C114" i="5"/>
  <c r="B114" i="5"/>
  <c r="AD113" i="5"/>
  <c r="AC113" i="5"/>
  <c r="AA113" i="5"/>
  <c r="Y113" i="5"/>
  <c r="X113" i="5"/>
  <c r="V113" i="5"/>
  <c r="T113" i="5"/>
  <c r="S113" i="5"/>
  <c r="Q113" i="5"/>
  <c r="O113" i="5"/>
  <c r="N113" i="5"/>
  <c r="L113" i="5"/>
  <c r="J113" i="5"/>
  <c r="I113" i="5"/>
  <c r="G113" i="5"/>
  <c r="D113" i="5"/>
  <c r="C113" i="5"/>
  <c r="B113" i="5"/>
  <c r="AD112" i="5"/>
  <c r="AC112" i="5"/>
  <c r="AA112" i="5"/>
  <c r="Y112" i="5"/>
  <c r="X112" i="5"/>
  <c r="V112" i="5"/>
  <c r="T112" i="5"/>
  <c r="S112" i="5"/>
  <c r="Q112" i="5"/>
  <c r="O112" i="5"/>
  <c r="N112" i="5"/>
  <c r="L112" i="5"/>
  <c r="J112" i="5"/>
  <c r="I112" i="5"/>
  <c r="G112" i="5"/>
  <c r="D112" i="5"/>
  <c r="C112" i="5"/>
  <c r="B112" i="5"/>
  <c r="AD111" i="5"/>
  <c r="AC111" i="5"/>
  <c r="AA111" i="5"/>
  <c r="Y111" i="5"/>
  <c r="X111" i="5"/>
  <c r="V111" i="5"/>
  <c r="T111" i="5"/>
  <c r="S111" i="5"/>
  <c r="Q111" i="5"/>
  <c r="O111" i="5"/>
  <c r="N111" i="5"/>
  <c r="L111" i="5"/>
  <c r="J111" i="5"/>
  <c r="I111" i="5"/>
  <c r="G111" i="5"/>
  <c r="D111" i="5"/>
  <c r="C111" i="5"/>
  <c r="B111" i="5"/>
  <c r="AD110" i="5"/>
  <c r="AC110" i="5"/>
  <c r="AA110" i="5"/>
  <c r="Y110" i="5"/>
  <c r="X110" i="5"/>
  <c r="V110" i="5"/>
  <c r="T110" i="5"/>
  <c r="S110" i="5"/>
  <c r="Q110" i="5"/>
  <c r="O110" i="5"/>
  <c r="N110" i="5"/>
  <c r="L110" i="5"/>
  <c r="J110" i="5"/>
  <c r="I110" i="5"/>
  <c r="G110" i="5"/>
  <c r="D110" i="5"/>
  <c r="C110" i="5"/>
  <c r="B110" i="5"/>
  <c r="AD109" i="5"/>
  <c r="AC109" i="5"/>
  <c r="AA109" i="5"/>
  <c r="Y109" i="5"/>
  <c r="X109" i="5"/>
  <c r="V109" i="5"/>
  <c r="T109" i="5"/>
  <c r="S109" i="5"/>
  <c r="Q109" i="5"/>
  <c r="O109" i="5"/>
  <c r="N109" i="5"/>
  <c r="L109" i="5"/>
  <c r="J109" i="5"/>
  <c r="I109" i="5"/>
  <c r="G109" i="5"/>
  <c r="D109" i="5"/>
  <c r="C109" i="5"/>
  <c r="B109" i="5"/>
  <c r="AD108" i="5"/>
  <c r="AC108" i="5"/>
  <c r="AA108" i="5"/>
  <c r="Y108" i="5"/>
  <c r="X108" i="5"/>
  <c r="V108" i="5"/>
  <c r="T108" i="5"/>
  <c r="S108" i="5"/>
  <c r="Q108" i="5"/>
  <c r="O108" i="5"/>
  <c r="N108" i="5"/>
  <c r="L108" i="5"/>
  <c r="J108" i="5"/>
  <c r="I108" i="5"/>
  <c r="G108" i="5"/>
  <c r="D108" i="5"/>
  <c r="C108" i="5"/>
  <c r="B108" i="5"/>
  <c r="AD107" i="5"/>
  <c r="AC107" i="5"/>
  <c r="AA107" i="5"/>
  <c r="Y107" i="5"/>
  <c r="X107" i="5"/>
  <c r="V107" i="5"/>
  <c r="T107" i="5"/>
  <c r="S107" i="5"/>
  <c r="Q107" i="5"/>
  <c r="O107" i="5"/>
  <c r="N107" i="5"/>
  <c r="L107" i="5"/>
  <c r="J107" i="5"/>
  <c r="I107" i="5"/>
  <c r="G107" i="5"/>
  <c r="D107" i="5"/>
  <c r="C107" i="5"/>
  <c r="B107" i="5"/>
  <c r="AD106" i="5"/>
  <c r="AC106" i="5"/>
  <c r="AA106" i="5"/>
  <c r="Y106" i="5"/>
  <c r="X106" i="5"/>
  <c r="V106" i="5"/>
  <c r="T106" i="5"/>
  <c r="S106" i="5"/>
  <c r="Q106" i="5"/>
  <c r="O106" i="5"/>
  <c r="N106" i="5"/>
  <c r="L106" i="5"/>
  <c r="J106" i="5"/>
  <c r="I106" i="5"/>
  <c r="G106" i="5"/>
  <c r="D106" i="5"/>
  <c r="C106" i="5"/>
  <c r="B106" i="5"/>
  <c r="AD105" i="5"/>
  <c r="AC105" i="5"/>
  <c r="AA105" i="5"/>
  <c r="Y105" i="5"/>
  <c r="X105" i="5"/>
  <c r="V105" i="5"/>
  <c r="T105" i="5"/>
  <c r="S105" i="5"/>
  <c r="Q105" i="5"/>
  <c r="O105" i="5"/>
  <c r="N105" i="5"/>
  <c r="L105" i="5"/>
  <c r="J105" i="5"/>
  <c r="I105" i="5"/>
  <c r="G105" i="5"/>
  <c r="D105" i="5"/>
  <c r="C105" i="5"/>
  <c r="B105" i="5"/>
  <c r="AD104" i="5"/>
  <c r="AC104" i="5"/>
  <c r="AA104" i="5"/>
  <c r="Y104" i="5"/>
  <c r="X104" i="5"/>
  <c r="V104" i="5"/>
  <c r="T104" i="5"/>
  <c r="S104" i="5"/>
  <c r="Q104" i="5"/>
  <c r="O104" i="5"/>
  <c r="N104" i="5"/>
  <c r="L104" i="5"/>
  <c r="J104" i="5"/>
  <c r="I104" i="5"/>
  <c r="G104" i="5"/>
  <c r="D104" i="5"/>
  <c r="C104" i="5"/>
  <c r="B104" i="5"/>
  <c r="AD103" i="5"/>
  <c r="AC103" i="5"/>
  <c r="AA103" i="5"/>
  <c r="Y103" i="5"/>
  <c r="X103" i="5"/>
  <c r="V103" i="5"/>
  <c r="T103" i="5"/>
  <c r="S103" i="5"/>
  <c r="Q103" i="5"/>
  <c r="O103" i="5"/>
  <c r="N103" i="5"/>
  <c r="L103" i="5"/>
  <c r="J103" i="5"/>
  <c r="I103" i="5"/>
  <c r="G103" i="5"/>
  <c r="D103" i="5"/>
  <c r="C103" i="5"/>
  <c r="B103" i="5"/>
  <c r="AD102" i="5"/>
  <c r="AC102" i="5"/>
  <c r="AA102" i="5"/>
  <c r="Y102" i="5"/>
  <c r="X102" i="5"/>
  <c r="V102" i="5"/>
  <c r="T102" i="5"/>
  <c r="S102" i="5"/>
  <c r="Q102" i="5"/>
  <c r="O102" i="5"/>
  <c r="N102" i="5"/>
  <c r="L102" i="5"/>
  <c r="J102" i="5"/>
  <c r="I102" i="5"/>
  <c r="G102" i="5"/>
  <c r="D102" i="5"/>
  <c r="C102" i="5"/>
  <c r="B102" i="5"/>
  <c r="AD101" i="5"/>
  <c r="AC101" i="5"/>
  <c r="AA101" i="5"/>
  <c r="Y101" i="5"/>
  <c r="X101" i="5"/>
  <c r="V101" i="5"/>
  <c r="T101" i="5"/>
  <c r="S101" i="5"/>
  <c r="Q101" i="5"/>
  <c r="O101" i="5"/>
  <c r="N101" i="5"/>
  <c r="L101" i="5"/>
  <c r="J101" i="5"/>
  <c r="I101" i="5"/>
  <c r="G101" i="5"/>
  <c r="D101" i="5"/>
  <c r="C101" i="5"/>
  <c r="B101" i="5"/>
  <c r="AD100" i="5"/>
  <c r="AC100" i="5"/>
  <c r="AA100" i="5"/>
  <c r="Y100" i="5"/>
  <c r="X100" i="5"/>
  <c r="V100" i="5"/>
  <c r="T100" i="5"/>
  <c r="S100" i="5"/>
  <c r="Q100" i="5"/>
  <c r="O100" i="5"/>
  <c r="N100" i="5"/>
  <c r="L100" i="5"/>
  <c r="J100" i="5"/>
  <c r="I100" i="5"/>
  <c r="G100" i="5"/>
  <c r="D100" i="5"/>
  <c r="C100" i="5"/>
  <c r="B100" i="5"/>
  <c r="AD99" i="5"/>
  <c r="AC99" i="5"/>
  <c r="AA99" i="5"/>
  <c r="Y99" i="5"/>
  <c r="X99" i="5"/>
  <c r="V99" i="5"/>
  <c r="T99" i="5"/>
  <c r="S99" i="5"/>
  <c r="Q99" i="5"/>
  <c r="O99" i="5"/>
  <c r="N99" i="5"/>
  <c r="L99" i="5"/>
  <c r="J99" i="5"/>
  <c r="I99" i="5"/>
  <c r="G99" i="5"/>
  <c r="D99" i="5"/>
  <c r="C99" i="5"/>
  <c r="B99" i="5"/>
  <c r="AD98" i="5"/>
  <c r="AC98" i="5"/>
  <c r="AA98" i="5"/>
  <c r="Y98" i="5"/>
  <c r="X98" i="5"/>
  <c r="V98" i="5"/>
  <c r="T98" i="5"/>
  <c r="S98" i="5"/>
  <c r="Q98" i="5"/>
  <c r="O98" i="5"/>
  <c r="N98" i="5"/>
  <c r="L98" i="5"/>
  <c r="J98" i="5"/>
  <c r="I98" i="5"/>
  <c r="G98" i="5"/>
  <c r="D98" i="5"/>
  <c r="C98" i="5"/>
  <c r="B98" i="5"/>
  <c r="AD97" i="5"/>
  <c r="AC97" i="5"/>
  <c r="AA97" i="5"/>
  <c r="Y97" i="5"/>
  <c r="X97" i="5"/>
  <c r="V97" i="5"/>
  <c r="T97" i="5"/>
  <c r="S97" i="5"/>
  <c r="Q97" i="5"/>
  <c r="O97" i="5"/>
  <c r="N97" i="5"/>
  <c r="L97" i="5"/>
  <c r="J97" i="5"/>
  <c r="I97" i="5"/>
  <c r="G97" i="5"/>
  <c r="D97" i="5"/>
  <c r="C97" i="5"/>
  <c r="B97" i="5"/>
  <c r="AD96" i="5"/>
  <c r="AC96" i="5"/>
  <c r="AA96" i="5"/>
  <c r="Y96" i="5"/>
  <c r="X96" i="5"/>
  <c r="V96" i="5"/>
  <c r="T96" i="5"/>
  <c r="S96" i="5"/>
  <c r="Q96" i="5"/>
  <c r="O96" i="5"/>
  <c r="N96" i="5"/>
  <c r="L96" i="5"/>
  <c r="J96" i="5"/>
  <c r="I96" i="5"/>
  <c r="G96" i="5"/>
  <c r="D96" i="5"/>
  <c r="C96" i="5"/>
  <c r="B96" i="5"/>
  <c r="C94" i="5"/>
  <c r="D90" i="5"/>
  <c r="C90" i="5"/>
  <c r="B90" i="5"/>
  <c r="D89" i="5"/>
  <c r="C89" i="5"/>
  <c r="B89" i="5"/>
  <c r="D88" i="5"/>
  <c r="C88" i="5"/>
  <c r="B88" i="5"/>
  <c r="D87" i="5"/>
  <c r="C87" i="5"/>
  <c r="B87" i="5"/>
  <c r="D86" i="5"/>
  <c r="C86" i="5"/>
  <c r="B86" i="5"/>
  <c r="D85" i="5"/>
  <c r="C85" i="5"/>
  <c r="B85" i="5"/>
  <c r="D84" i="5"/>
  <c r="C84" i="5"/>
  <c r="B84" i="5"/>
  <c r="D83" i="5"/>
  <c r="C83" i="5"/>
  <c r="B83" i="5"/>
  <c r="D82" i="5"/>
  <c r="C82" i="5"/>
  <c r="B82" i="5"/>
  <c r="D81" i="5"/>
  <c r="C81" i="5"/>
  <c r="B81" i="5"/>
  <c r="D80" i="5"/>
  <c r="C80" i="5"/>
  <c r="B80" i="5"/>
  <c r="D79" i="5"/>
  <c r="C79" i="5"/>
  <c r="B79" i="5"/>
  <c r="D78" i="5"/>
  <c r="C78" i="5"/>
  <c r="B78" i="5"/>
  <c r="D77" i="5"/>
  <c r="C77" i="5"/>
  <c r="B77" i="5"/>
  <c r="D76" i="5"/>
  <c r="C76" i="5"/>
  <c r="B76" i="5"/>
  <c r="D75" i="5"/>
  <c r="C75" i="5"/>
  <c r="B75" i="5"/>
  <c r="D74" i="5"/>
  <c r="C74" i="5"/>
  <c r="B74" i="5"/>
  <c r="D73" i="5"/>
  <c r="C73" i="5"/>
  <c r="B73" i="5"/>
  <c r="D72" i="5"/>
  <c r="C72" i="5"/>
  <c r="B72" i="5"/>
  <c r="D71" i="5"/>
  <c r="C71" i="5"/>
  <c r="B71" i="5"/>
  <c r="D69" i="5"/>
  <c r="C69" i="5"/>
  <c r="C66" i="5"/>
  <c r="C64" i="5"/>
  <c r="C61" i="5"/>
  <c r="C59" i="5"/>
  <c r="C56" i="5"/>
  <c r="C54" i="5"/>
  <c r="C52" i="5"/>
  <c r="C50" i="5"/>
  <c r="C48" i="5"/>
  <c r="C45" i="5"/>
  <c r="C43" i="5"/>
  <c r="C41" i="5"/>
  <c r="C39" i="5"/>
  <c r="C37" i="5"/>
  <c r="C35" i="5"/>
  <c r="C33" i="5"/>
  <c r="C31" i="5"/>
  <c r="C29" i="5"/>
  <c r="C27" i="5"/>
  <c r="C25" i="5"/>
  <c r="C23" i="5"/>
  <c r="C20" i="5"/>
  <c r="C18" i="5"/>
  <c r="C16" i="5"/>
  <c r="C14" i="5"/>
  <c r="C12" i="5"/>
  <c r="C10" i="5"/>
  <c r="C7" i="5"/>
  <c r="C6" i="5"/>
  <c r="C3" i="5"/>
  <c r="R12" i="6"/>
  <c r="Q12" i="6"/>
  <c r="P12" i="6"/>
  <c r="O12" i="6"/>
  <c r="N12" i="6"/>
  <c r="M12" i="6"/>
  <c r="L12" i="6"/>
  <c r="H12" i="6"/>
  <c r="G12" i="6"/>
  <c r="F12" i="6"/>
  <c r="E12" i="6"/>
  <c r="D12" i="6"/>
  <c r="C12" i="6"/>
  <c r="R11" i="6"/>
  <c r="Q11" i="6"/>
  <c r="P11" i="6"/>
  <c r="O11" i="6"/>
  <c r="N11" i="6"/>
  <c r="M11" i="6"/>
  <c r="H11" i="6"/>
  <c r="R10" i="6"/>
  <c r="Q10" i="6"/>
  <c r="P10" i="6"/>
  <c r="O10" i="6"/>
  <c r="N10" i="6"/>
  <c r="M10" i="6"/>
  <c r="H10" i="6"/>
  <c r="R9" i="6"/>
  <c r="Q9" i="6"/>
  <c r="P9" i="6"/>
  <c r="O9" i="6"/>
  <c r="N9" i="6"/>
  <c r="M9" i="6"/>
  <c r="H9" i="6"/>
  <c r="R8" i="6"/>
  <c r="Q8" i="6"/>
  <c r="P8" i="6"/>
  <c r="O8" i="6"/>
  <c r="N8" i="6"/>
  <c r="M8" i="6"/>
  <c r="H8" i="6"/>
  <c r="R7" i="6"/>
  <c r="Q7" i="6"/>
  <c r="P7" i="6"/>
  <c r="O7" i="6"/>
  <c r="N7" i="6"/>
  <c r="M7" i="6"/>
  <c r="H7" i="6"/>
  <c r="R6" i="6"/>
  <c r="Q6" i="6"/>
  <c r="P6" i="6"/>
  <c r="O6" i="6"/>
  <c r="N6" i="6"/>
  <c r="M6" i="6"/>
  <c r="H6" i="6"/>
  <c r="R5" i="6"/>
  <c r="Q5" i="6"/>
  <c r="P5" i="6"/>
  <c r="O5" i="6"/>
  <c r="N5" i="6"/>
  <c r="M5" i="6"/>
  <c r="H5" i="6"/>
</calcChain>
</file>

<file path=xl/sharedStrings.xml><?xml version="1.0" encoding="utf-8"?>
<sst xmlns="http://schemas.openxmlformats.org/spreadsheetml/2006/main" count="1052" uniqueCount="429">
  <si>
    <t>Building</t>
  </si>
  <si>
    <t>EA</t>
  </si>
  <si>
    <t>Total  OF BUILDING</t>
  </si>
  <si>
    <t>Building Type</t>
  </si>
  <si>
    <t>Type Of Units</t>
  </si>
  <si>
    <t>Level 3</t>
  </si>
  <si>
    <t>Level 4</t>
  </si>
  <si>
    <t>Level 5</t>
  </si>
  <si>
    <t>Level 6</t>
  </si>
  <si>
    <t>Level 7</t>
  </si>
  <si>
    <t>Per Unit</t>
  </si>
  <si>
    <t>No Of Units</t>
  </si>
  <si>
    <t>Total Units</t>
  </si>
  <si>
    <t>Unit</t>
  </si>
  <si>
    <t>NRSF</t>
  </si>
  <si>
    <t>Total NRSF</t>
  </si>
  <si>
    <t>Deluxe KIng</t>
  </si>
  <si>
    <t>Deluxe King (W)</t>
  </si>
  <si>
    <t>Double Queen</t>
  </si>
  <si>
    <t>Double Queen (W)</t>
  </si>
  <si>
    <t>One Bedroom Suite</t>
  </si>
  <si>
    <t>Presidential Suite</t>
  </si>
  <si>
    <t>Standard King</t>
  </si>
  <si>
    <t>Total</t>
  </si>
  <si>
    <t>All UNITS - BUILDING</t>
  </si>
  <si>
    <t>UNITS</t>
  </si>
  <si>
    <t>Division 01</t>
  </si>
  <si>
    <t>Bed Bath</t>
  </si>
  <si>
    <t>1 Bed / 1 Bath</t>
  </si>
  <si>
    <t>Division 08</t>
  </si>
  <si>
    <t>Doors</t>
  </si>
  <si>
    <t>Double Panel Entry Door</t>
  </si>
  <si>
    <t>Double Panel Interior Door</t>
  </si>
  <si>
    <t>Single Panel Balcony Door</t>
  </si>
  <si>
    <t>Single Panel Entry Door</t>
  </si>
  <si>
    <t>Single Panel Interior Door</t>
  </si>
  <si>
    <t>Division 09</t>
  </si>
  <si>
    <t>Total Ceiling Finish</t>
  </si>
  <si>
    <t>SF</t>
  </si>
  <si>
    <t>Skim Coat Gypsum Plaster Ceiling</t>
  </si>
  <si>
    <t>Total Floor Finish</t>
  </si>
  <si>
    <t>Floor Finish @ Bathroom</t>
  </si>
  <si>
    <t>Floor Finish @ Bedroom</t>
  </si>
  <si>
    <t>Floor Finish @ Closet</t>
  </si>
  <si>
    <t>Floor Finish @ Hall</t>
  </si>
  <si>
    <t>Floor Finish @ Shower</t>
  </si>
  <si>
    <t>Total Wall Base</t>
  </si>
  <si>
    <t>LF</t>
  </si>
  <si>
    <t>Wall Base</t>
  </si>
  <si>
    <t>Total Wall Tile</t>
  </si>
  <si>
    <t>Wall Tile @ Bathroom @ Ht. 9'0" (Assumed)</t>
  </si>
  <si>
    <t>Division 22</t>
  </si>
  <si>
    <t>Plumbing Fixture</t>
  </si>
  <si>
    <t>Shower Enclosure Door W/ Partition</t>
  </si>
  <si>
    <t>Lavatory</t>
  </si>
  <si>
    <t>Shower</t>
  </si>
  <si>
    <t>Water Closet</t>
  </si>
  <si>
    <t>Division 23</t>
  </si>
  <si>
    <t>Mechanical</t>
  </si>
  <si>
    <t>Chilled Water Concealed Ducted Unit w/ Electric Heat</t>
  </si>
  <si>
    <t>Division 26</t>
  </si>
  <si>
    <t>Electrical</t>
  </si>
  <si>
    <t>Panel Board</t>
  </si>
  <si>
    <t>Total - 1 Bedroom/1 Bathroom</t>
  </si>
  <si>
    <t>Total - Deluxe King UNITS</t>
  </si>
  <si>
    <t>LEVEL 3</t>
  </si>
  <si>
    <t xml:space="preserve">LEVEL 4 </t>
  </si>
  <si>
    <t>LEVEL 5</t>
  </si>
  <si>
    <t xml:space="preserve">LEVEL 6 </t>
  </si>
  <si>
    <t>LEVEL 7</t>
  </si>
  <si>
    <t>Total - Deluxe King (W) UNITS</t>
  </si>
  <si>
    <t>Total - Double Queen UNITS</t>
  </si>
  <si>
    <t>Total - Double Queen (W) UNITS</t>
  </si>
  <si>
    <t>Total - One Bedroom Suite UNITS</t>
  </si>
  <si>
    <t>Total - Presidential Suite UNITS</t>
  </si>
  <si>
    <t>Total - Standard King UNITS</t>
  </si>
  <si>
    <t>Structural - Takeoff Summary</t>
  </si>
  <si>
    <t>Division W/ Description</t>
  </si>
  <si>
    <t>Items</t>
  </si>
  <si>
    <t>Quantity 1</t>
  </si>
  <si>
    <t>Quantity 2</t>
  </si>
  <si>
    <t>Division 03</t>
  </si>
  <si>
    <t>Concrete Beam</t>
  </si>
  <si>
    <t>Concrete Beam - 1'0" X 2'0"</t>
  </si>
  <si>
    <t>CY</t>
  </si>
  <si>
    <t>Concrete Beam - 1'4" X 2'0"</t>
  </si>
  <si>
    <t>Concrete Beam - 1'6" X 2'0"</t>
  </si>
  <si>
    <t>Concrete Beam - 2'0" X 2'0"</t>
  </si>
  <si>
    <t>Concrete Columns</t>
  </si>
  <si>
    <t xml:space="preserve">1'0" X 1'0" Concrete Columns @ Ht.16'0' </t>
  </si>
  <si>
    <t xml:space="preserve">1'0" X 1'10" Concrete Columns @ Ht.10'8" </t>
  </si>
  <si>
    <t xml:space="preserve">1'0" X 1'10" Concrete Columns @ Ht.12'1" </t>
  </si>
  <si>
    <t xml:space="preserve">1'0" X 1'10" Concrete Columns @ Ht.15'8" </t>
  </si>
  <si>
    <t xml:space="preserve">1'0" X 1'10" Concrete Columns @ Ht.16'0" </t>
  </si>
  <si>
    <t xml:space="preserve">1'0" X 1'10" Concrete Columns @ Ht.17'5" </t>
  </si>
  <si>
    <t xml:space="preserve">1'10" X 1'10" Concrete Columns @ Ht.10'8" </t>
  </si>
  <si>
    <t xml:space="preserve">1'10" X 1'10" Concrete Columns @ Ht.12'1" </t>
  </si>
  <si>
    <t xml:space="preserve">1'10" X 1'10" Concrete Columns @ Ht.12'3" </t>
  </si>
  <si>
    <t xml:space="preserve">1'10" X 1'10" Concrete Columns @ Ht.15'8" </t>
  </si>
  <si>
    <t xml:space="preserve">1'10" X 1'10" Concrete Columns @ Ht.16'0" </t>
  </si>
  <si>
    <t>1'10" X 1'10" Concrete Columns @ Ht.17'5"</t>
  </si>
  <si>
    <t>1'6" X 1'6" Concrete Columns @ Ht.16'0"</t>
  </si>
  <si>
    <t>1'6" X 1'6" Concrete Columns @ Ht.8'3"</t>
  </si>
  <si>
    <t>Concrete Grade Beam</t>
  </si>
  <si>
    <t>Concrete Grade Beam - 2'0" X 1'10"</t>
  </si>
  <si>
    <t>Concrete Pier</t>
  </si>
  <si>
    <t>3'6" Dia Concrete Pier @Ht. 30'0" (Height Assumed)</t>
  </si>
  <si>
    <t>4'6" Dia Concrete Pier @Ht. 30'0" (Height Assumed)</t>
  </si>
  <si>
    <t>Concrete Shear Wall</t>
  </si>
  <si>
    <t>12" Thick Concrete Shear Wall @ Ht. 10'8"</t>
  </si>
  <si>
    <t>12" Thick Concrete Shear Wall @ Ht. 11'9"</t>
  </si>
  <si>
    <t>12" Thick Concrete Shear Wall @ Ht. 15'8"</t>
  </si>
  <si>
    <t>12" Thick Concrete Shear Wall @ Ht. 16'0"</t>
  </si>
  <si>
    <t>12" Thick Concrete Shear Wall @ Ht. 16'9"</t>
  </si>
  <si>
    <t>Concrete Slab</t>
  </si>
  <si>
    <t>12" Thick Concrete Slab</t>
  </si>
  <si>
    <t>12" Thick Concrete Slab @ Elevator Pit (Assumed)</t>
  </si>
  <si>
    <t>4" Thick Concrete Slab</t>
  </si>
  <si>
    <t>9" Thick Concrete Slab</t>
  </si>
  <si>
    <t>Concrete Slab On Grade</t>
  </si>
  <si>
    <t>8" Thick Concrete Slab On Grade</t>
  </si>
  <si>
    <t>Concrete Wall</t>
  </si>
  <si>
    <t>12" Thick Concrete Wall @ Ht. 4'0" (Assumed) @Elevator Pit</t>
  </si>
  <si>
    <t>Division 05</t>
  </si>
  <si>
    <t>Metal Deck</t>
  </si>
  <si>
    <t>1 1/2" Type B Metal Deck</t>
  </si>
  <si>
    <t>Steel Beam</t>
  </si>
  <si>
    <t xml:space="preserve">HSS 10 X 6 </t>
  </si>
  <si>
    <t xml:space="preserve">HSS 6 X 6 </t>
  </si>
  <si>
    <t>HSS Steel Beam</t>
  </si>
  <si>
    <t>W 10 X 22</t>
  </si>
  <si>
    <t>Steel Columns</t>
  </si>
  <si>
    <t>HSS 6 X 6 X @ Ht.14'0"</t>
  </si>
  <si>
    <t>HSS 6 X 6 X @ Ht.16'0"</t>
  </si>
  <si>
    <t>HSS 6 X 6 X @ Ht.16'5"</t>
  </si>
  <si>
    <t>Architectural - Takeoff Summary</t>
  </si>
  <si>
    <t>Divisiopn W/ Description</t>
  </si>
  <si>
    <t>Division 04</t>
  </si>
  <si>
    <t>Stone Wall</t>
  </si>
  <si>
    <t>Stone Wall @ Ht. 18'8"</t>
  </si>
  <si>
    <t>Gaurdrail</t>
  </si>
  <si>
    <t>Stair Gaurdrail @Ht. 3'0" (Assumed)</t>
  </si>
  <si>
    <t>Handrail</t>
  </si>
  <si>
    <t>Stair Handrail @ Ht. 3'6" (Assumed)</t>
  </si>
  <si>
    <t>Landing</t>
  </si>
  <si>
    <t>No. Of Flights</t>
  </si>
  <si>
    <t>No. OF Flights - 4'10" X 11" X 2" (Assumed)</t>
  </si>
  <si>
    <t>Railing</t>
  </si>
  <si>
    <t>2X6 Bumper Railing</t>
  </si>
  <si>
    <t>Decorative Steel Gaurdrail @ Ht. 3'6"</t>
  </si>
  <si>
    <t>Roof Access Ladder</t>
  </si>
  <si>
    <t>Division 07</t>
  </si>
  <si>
    <t>Coping</t>
  </si>
  <si>
    <t>Roof Access</t>
  </si>
  <si>
    <t>Roof Access - 2'6" X 2'6"</t>
  </si>
  <si>
    <t>Roofing</t>
  </si>
  <si>
    <t>PVC Rood Membrane- Thermoplastic Roofing System W/ Polyster Reinforcing</t>
  </si>
  <si>
    <t>Standing Seam Metal Roof</t>
  </si>
  <si>
    <t>TPO Roofing System</t>
  </si>
  <si>
    <t>Door</t>
  </si>
  <si>
    <t>Double Panel Exterior Door</t>
  </si>
  <si>
    <t>Fire Shutter Door System</t>
  </si>
  <si>
    <t>Overhead Door</t>
  </si>
  <si>
    <t>Single Panel Exterior Door</t>
  </si>
  <si>
    <t>Storefront</t>
  </si>
  <si>
    <t>Storefront - 10'0" X 10'0"</t>
  </si>
  <si>
    <t>Storefront - 10'0" X 12'0"</t>
  </si>
  <si>
    <t>Storefront - 12'0" X 9'0"(Height Assumed) W/ Double Panel Door</t>
  </si>
  <si>
    <t>Storefront - 12'10" X 9'0"(Height Assumed)W/ Double Panel Door</t>
  </si>
  <si>
    <t>Storefront - 12'2" X 15'0" W/ Double Panel Door</t>
  </si>
  <si>
    <t>Storefront - 12'5" X 9'0"(Height Assumed)</t>
  </si>
  <si>
    <t>Storefront - 13'0" X 17'0"</t>
  </si>
  <si>
    <t>Storefront - 14'0" X 15'0" W/ Double Panel Door</t>
  </si>
  <si>
    <t>Storefront - 16'0" X 9'0"(Height Assumed)W/ Double Panel Door</t>
  </si>
  <si>
    <t>Storefront - 17'4" X 9'0" (Height Assumed)</t>
  </si>
  <si>
    <t>Storefront - 19'0" X 11'0"</t>
  </si>
  <si>
    <t>Storefront - 2'10" X 9'0"(Height Assumed)</t>
  </si>
  <si>
    <t xml:space="preserve">Storefront - 4'0" X 9'0" </t>
  </si>
  <si>
    <t>Storefront - 40'7" X 10'0"</t>
  </si>
  <si>
    <t>Storefront - 40'7" X 14'0"</t>
  </si>
  <si>
    <t>Storefront - 6'4" X 10'0"</t>
  </si>
  <si>
    <t>Storefront - 6'4" X 12'0"</t>
  </si>
  <si>
    <t>Storefront - 6'4" X 9'0"(Height Assumed)</t>
  </si>
  <si>
    <t>Storefront - 7'0" X 16'9"</t>
  </si>
  <si>
    <t>Storefront - 7'10" X 9'0"(Height Assumed)</t>
  </si>
  <si>
    <t>Storefront - 8'0" X 12'0"</t>
  </si>
  <si>
    <t>Storefront - 9'7" X 10'0" W/ Double Panel Door</t>
  </si>
  <si>
    <t>Storefront - 6'4" X 9'6"</t>
  </si>
  <si>
    <t>Storefront 1 EA</t>
  </si>
  <si>
    <t>Storefront 2 EA</t>
  </si>
  <si>
    <t>Wall</t>
  </si>
  <si>
    <t>Folding Glass Wall @ Ht. 11'0"</t>
  </si>
  <si>
    <t>Windows</t>
  </si>
  <si>
    <t xml:space="preserve">Window - 4'0" X 8'0" </t>
  </si>
  <si>
    <t>Window - 5'10" X 8'0"</t>
  </si>
  <si>
    <t xml:space="preserve">Window - 6'4" X 10'0" </t>
  </si>
  <si>
    <t>Window 3'0" X 5'6"</t>
  </si>
  <si>
    <t>Ceiling Finish</t>
  </si>
  <si>
    <t>2' X 2' Acoustical Ceiling Tile</t>
  </si>
  <si>
    <t>Painted 5/8" Suspended Gypsum Board Ceiling</t>
  </si>
  <si>
    <t>Floor Finish</t>
  </si>
  <si>
    <t>Brick Unit Paver</t>
  </si>
  <si>
    <t>Carpet Tiles @ Administration/Executive/Accounting</t>
  </si>
  <si>
    <t>Epoxy Floor @ Banquet Kitchen</t>
  </si>
  <si>
    <t>Sealed Concrete</t>
  </si>
  <si>
    <t>Porcelain Tile @Lockers Room</t>
  </si>
  <si>
    <t>4" Rubber Wall Base</t>
  </si>
  <si>
    <t>4" Rubber Wall Base / Porcelain Tile</t>
  </si>
  <si>
    <t>Epoxy Wall Base</t>
  </si>
  <si>
    <t>Wall Finish</t>
  </si>
  <si>
    <t>Fiber Reinforced Laminate @ Ht. 4'0"</t>
  </si>
  <si>
    <t>Fiber Reinforced Plastic @ Ht. 4'0"</t>
  </si>
  <si>
    <t>Fiber Reinforced Plastic @ Ht. 8'0"</t>
  </si>
  <si>
    <t>Porcelain Tile @ Ht. 7'0"( Height Assumed)</t>
  </si>
  <si>
    <t>Division 10</t>
  </si>
  <si>
    <t>Balcony</t>
  </si>
  <si>
    <t>Prefabricated Steel Balcony And Railing - 5'0" X 14'0"</t>
  </si>
  <si>
    <t>Gas Fire Place</t>
  </si>
  <si>
    <t>Operable Partition</t>
  </si>
  <si>
    <t>Operable Partition @ Ht. 16'0"</t>
  </si>
  <si>
    <t>Restroom</t>
  </si>
  <si>
    <t>Screen Wall</t>
  </si>
  <si>
    <t>Screen Wall @ Ht.9'0"</t>
  </si>
  <si>
    <t>Stone Gas Fireplace</t>
  </si>
  <si>
    <t>Toilet Partition</t>
  </si>
  <si>
    <t>Toilet Partition @ Ht. 4'0"</t>
  </si>
  <si>
    <t>Trellis</t>
  </si>
  <si>
    <t>Painted Steel Trellis</t>
  </si>
  <si>
    <t>Division 14</t>
  </si>
  <si>
    <t>Elevator</t>
  </si>
  <si>
    <t>Elevator (8 Stops)</t>
  </si>
  <si>
    <t>Division 32</t>
  </si>
  <si>
    <t>Pool Area</t>
  </si>
  <si>
    <t>Tree Wells</t>
  </si>
  <si>
    <t>Planter Wall @ Ht. 3'0" (Height Assumed)</t>
  </si>
  <si>
    <t>Water Feature</t>
  </si>
  <si>
    <t>Exterior Facade - Takeoff Summary</t>
  </si>
  <si>
    <t>Exterior Finish</t>
  </si>
  <si>
    <t>12" Rowlock Brick Band</t>
  </si>
  <si>
    <t>2" Rowlock Brick Band</t>
  </si>
  <si>
    <t>4" Rowlock Brick Band</t>
  </si>
  <si>
    <t>24" Soldier Course Brick Lintel</t>
  </si>
  <si>
    <t>4" Rowlock Brick Sill</t>
  </si>
  <si>
    <t>4" (W) Brick Arch</t>
  </si>
  <si>
    <t>8" (W) Brick Arch</t>
  </si>
  <si>
    <t xml:space="preserve">8" Soldier Course Brick </t>
  </si>
  <si>
    <t>Modular Brick</t>
  </si>
  <si>
    <t>Modular Brick @ Ht. 10'8"</t>
  </si>
  <si>
    <t>Modular Brick @ Ht. 14'0"</t>
  </si>
  <si>
    <t>Modular Brick @ Ht. 1'6"</t>
  </si>
  <si>
    <t>Modular Brick @ Ht. 16'0"</t>
  </si>
  <si>
    <t>Modular Brick @ Ht. 18'8"</t>
  </si>
  <si>
    <t>Modular Brick @ Ht. 23'4"</t>
  </si>
  <si>
    <t>Modular Brick @ Ht. 3'6"</t>
  </si>
  <si>
    <t>Modular Bricks</t>
  </si>
  <si>
    <t>Metal Panel(Finish Assumed)</t>
  </si>
  <si>
    <t>Metal Panels (Finish Assumed)</t>
  </si>
  <si>
    <t>Metal Panels @ Ht. 10'0" (Finish Assumed)</t>
  </si>
  <si>
    <t>Metal Panels @ Ht. 16'0" (Finish Assumed)</t>
  </si>
  <si>
    <t>MEPT - Takeoff Summary</t>
  </si>
  <si>
    <t>Gallon Grease Interceptor And Sample Well</t>
  </si>
  <si>
    <t>Gas Meter Assembly</t>
  </si>
  <si>
    <t>Generator Remote Fill Station</t>
  </si>
  <si>
    <t>Mop Sink</t>
  </si>
  <si>
    <t>Pump</t>
  </si>
  <si>
    <t>Fire Pump</t>
  </si>
  <si>
    <t>Jockey Pump</t>
  </si>
  <si>
    <t>Triplex Domestic Booster Pump</t>
  </si>
  <si>
    <t>Urinal</t>
  </si>
  <si>
    <t>Air Cooled Chiller</t>
  </si>
  <si>
    <t>ACCH - Air Cooled Chiller</t>
  </si>
  <si>
    <t>Captive Air Modular Packaged Unit</t>
  </si>
  <si>
    <t>5 Ton Makeup Captive Air Modular Packaged Unit</t>
  </si>
  <si>
    <t>Condensing Unit</t>
  </si>
  <si>
    <t>DOAS</t>
  </si>
  <si>
    <t>DOAS - Dedicated Outdoor Air System</t>
  </si>
  <si>
    <t>Electric Unit Heater</t>
  </si>
  <si>
    <t>EUH - Electric Unit Heater</t>
  </si>
  <si>
    <t>Fan Coil Unit</t>
  </si>
  <si>
    <t>FCU - Fan Coil Unit</t>
  </si>
  <si>
    <t>Louver</t>
  </si>
  <si>
    <t>120" X 120"  Louver</t>
  </si>
  <si>
    <t>144" X 144"  Louver</t>
  </si>
  <si>
    <t>24" X 24" Louver</t>
  </si>
  <si>
    <t>48" X 12"  Louver</t>
  </si>
  <si>
    <t>48" X 12" Louver</t>
  </si>
  <si>
    <t>96" X 24" Louver</t>
  </si>
  <si>
    <t>Roof Mounted Chilled Water Outside Air Handling Unit</t>
  </si>
  <si>
    <t>OAHU - Roof Mounted Chilled Water Outside Air Handling Unit</t>
  </si>
  <si>
    <t>Single Zone VAV Air Handling Unit</t>
  </si>
  <si>
    <t>AHU - Single Zone VAV Air Handling Unit</t>
  </si>
  <si>
    <t>Stair Pressurization Fan</t>
  </si>
  <si>
    <t>SPF - Stair Pressurization Fan</t>
  </si>
  <si>
    <t>Fire Pump Controller</t>
  </si>
  <si>
    <t>Light Fixture</t>
  </si>
  <si>
    <t>Light Fixture / Power / Receptacles (Miscellaneous)</t>
  </si>
  <si>
    <t>LS</t>
  </si>
  <si>
    <t>Meter</t>
  </si>
  <si>
    <t>Meter Centre Type 1A</t>
  </si>
  <si>
    <t>Tap Box</t>
  </si>
  <si>
    <t>Transformer</t>
  </si>
  <si>
    <t>XMFR - Transformer</t>
  </si>
  <si>
    <t>Utility Transformer</t>
  </si>
  <si>
    <t>Division 28</t>
  </si>
  <si>
    <t>AV Cabinet</t>
  </si>
  <si>
    <t>Card Reader</t>
  </si>
  <si>
    <t>Wall Mounted Card Reader</t>
  </si>
  <si>
    <t>DC</t>
  </si>
  <si>
    <t>DC - Door Position Sensor</t>
  </si>
  <si>
    <t>Projection Screen</t>
  </si>
  <si>
    <t>Recessed Motorized Projection Screen</t>
  </si>
  <si>
    <t>Projector</t>
  </si>
  <si>
    <t>Large Venue High Lumen Ceiling Mounted Projector</t>
  </si>
  <si>
    <t>Site Takeoff Summary</t>
  </si>
  <si>
    <t>Division 02</t>
  </si>
  <si>
    <t>Demolition</t>
  </si>
  <si>
    <t>Close And Abandonee Existing Monitoring Well</t>
  </si>
  <si>
    <t>Remove &amp; Relocate Existing Light Pole</t>
  </si>
  <si>
    <t>Remove Existing Curb</t>
  </si>
  <si>
    <t>Remove Existing Drive</t>
  </si>
  <si>
    <t>Remove Existing Fence</t>
  </si>
  <si>
    <t>Remove Existing Meter And Pads</t>
  </si>
  <si>
    <t>Remove Existing Pavement</t>
  </si>
  <si>
    <t>Remove Existing Railing</t>
  </si>
  <si>
    <t>Remove Existing Ramp</t>
  </si>
  <si>
    <t>Remove Existing Sidewalk</t>
  </si>
  <si>
    <t>Remove Existing Signages</t>
  </si>
  <si>
    <t>Remove Existing Trees</t>
  </si>
  <si>
    <t>Remove Existing Underground Electric Line</t>
  </si>
  <si>
    <t>Remove Existing Wall</t>
  </si>
  <si>
    <t>Remove Existing Water Structure</t>
  </si>
  <si>
    <t>Remove the Existing Landscaping Area</t>
  </si>
  <si>
    <t>Concrete Curb</t>
  </si>
  <si>
    <t>Concrete Curb - 9" X 1'0"</t>
  </si>
  <si>
    <t>Concrete Pavement</t>
  </si>
  <si>
    <t>H1 - 6" Thick Concrete Pavement</t>
  </si>
  <si>
    <t>Concrete Sidewalk</t>
  </si>
  <si>
    <t>5" Thick Scored Integral Color Concrete</t>
  </si>
  <si>
    <t>H1 - 5" Thick Concrete Sidewalk</t>
  </si>
  <si>
    <t>Concrete Terrace Seating</t>
  </si>
  <si>
    <t>12" Thick Concrete Terrace Seating (Thickness Assumed)</t>
  </si>
  <si>
    <t>Transformer Pad</t>
  </si>
  <si>
    <t>4" Thick Concrete Transformer Pad</t>
  </si>
  <si>
    <t>Division 31</t>
  </si>
  <si>
    <t>Concrete Truck Washout Pit</t>
  </si>
  <si>
    <t>Inlet Protection</t>
  </si>
  <si>
    <t>Grate Inlet Protection</t>
  </si>
  <si>
    <t>Silt Fence</t>
  </si>
  <si>
    <t>Silt Fence @ Ht. 2'6"</t>
  </si>
  <si>
    <t>Stabilized Construction Entrance/Exit</t>
  </si>
  <si>
    <t>Asphalt Pavement</t>
  </si>
  <si>
    <t>Construction Storage Area</t>
  </si>
  <si>
    <t>Construction Vehicle, Equipment &amp; Material Storage Area</t>
  </si>
  <si>
    <t>Cast Stone Coping</t>
  </si>
  <si>
    <t>Fence</t>
  </si>
  <si>
    <t>Custom Wrought Iron Fence @ Ht. 6'0" (Height Assumed)</t>
  </si>
  <si>
    <t>Gate</t>
  </si>
  <si>
    <t>Fence Gate</t>
  </si>
  <si>
    <t>Guardrail</t>
  </si>
  <si>
    <t>Gravel</t>
  </si>
  <si>
    <t>H5 - Gravel</t>
  </si>
  <si>
    <t xml:space="preserve">Handrail </t>
  </si>
  <si>
    <t>Handrail @Ht. 2'6"</t>
  </si>
  <si>
    <t>Limestone Plank Paver</t>
  </si>
  <si>
    <t>Low Landscape Wall</t>
  </si>
  <si>
    <t>Low Landscape Wall W/ 4"-6" Día Angular Limestone Bullrock</t>
  </si>
  <si>
    <t>Masonry Inlay</t>
  </si>
  <si>
    <t>Metal Grate Pedestrian Bridge</t>
  </si>
  <si>
    <t>Overhead Aqueduct</t>
  </si>
  <si>
    <t>Pavers</t>
  </si>
  <si>
    <t>H3 - Pavers w/ 6" Thick Concrete Pavement</t>
  </si>
  <si>
    <t>Pier</t>
  </si>
  <si>
    <t>Custom Cast Stone Pier - 2'6" X 2'6"</t>
  </si>
  <si>
    <t>Planting Bed</t>
  </si>
  <si>
    <t>Ramp</t>
  </si>
  <si>
    <t>6'0" (W) Ramp</t>
  </si>
  <si>
    <t>Retaining Wall</t>
  </si>
  <si>
    <t>Retaining Wall W/ Brick Veneer &amp; Stone Cap@ Ht.4'0" (Height Assumed)</t>
  </si>
  <si>
    <t>Salvaged Limestone Blocks</t>
  </si>
  <si>
    <t>Scupper</t>
  </si>
  <si>
    <t>Metal Scupper</t>
  </si>
  <si>
    <t>Seat Wall</t>
  </si>
  <si>
    <t>1'4" Thick Seat Wall @ Ht.2'3"</t>
  </si>
  <si>
    <t>Slab Stepping Stones W/ Boulders</t>
  </si>
  <si>
    <t>SOD</t>
  </si>
  <si>
    <t>Stairs</t>
  </si>
  <si>
    <t>Stone Stairs - 6'0" X 1'0" X 7"</t>
  </si>
  <si>
    <t>Stone Stairs - 9'6" X 1'0" X 7"</t>
  </si>
  <si>
    <t>Stone Stairs - 9'8" X 1'0" X 7"</t>
  </si>
  <si>
    <t>Stone</t>
  </si>
  <si>
    <t>H4 - Stone W/ 6" Thick Concrete</t>
  </si>
  <si>
    <t>Trees</t>
  </si>
  <si>
    <t>Large Trees</t>
  </si>
  <si>
    <t>Medium Trees</t>
  </si>
  <si>
    <t>Small Trees</t>
  </si>
  <si>
    <t>Truncated Domes</t>
  </si>
  <si>
    <t>Vault Access Hatch</t>
  </si>
  <si>
    <t>Vault Access Hatch - 2'6" X 2'6"</t>
  </si>
  <si>
    <t>Utility Takeoff Summary</t>
  </si>
  <si>
    <t>Division 33</t>
  </si>
  <si>
    <t>Cleanout</t>
  </si>
  <si>
    <t>6" Sanitary Sewer Cleanout</t>
  </si>
  <si>
    <t>Fire Department Connection</t>
  </si>
  <si>
    <t>FDC - Fire Department Connection</t>
  </si>
  <si>
    <t>Fire Line</t>
  </si>
  <si>
    <t>6" PVC Class 150 Dry Fire Line</t>
  </si>
  <si>
    <t>8" DI Fire Line</t>
  </si>
  <si>
    <t>Gas Service Line</t>
  </si>
  <si>
    <t>Gate Valve</t>
  </si>
  <si>
    <t>8" Gate Valve</t>
  </si>
  <si>
    <t>Grease Trap</t>
  </si>
  <si>
    <t>Irrigation Line</t>
  </si>
  <si>
    <t>1" Irrigation Line</t>
  </si>
  <si>
    <t>Manhole</t>
  </si>
  <si>
    <t>48" Sanitary Sewer Manhole</t>
  </si>
  <si>
    <t>8" X 2" Fire Water Meter</t>
  </si>
  <si>
    <t>Sanitary Sewer Line</t>
  </si>
  <si>
    <t>6" Sanitary Sewer Line</t>
  </si>
  <si>
    <t>8" Sanitary Sewer Line</t>
  </si>
  <si>
    <t>Tap W/ Service Saddle</t>
  </si>
  <si>
    <t>6' X 1" Tap W/ Service Saddle</t>
  </si>
  <si>
    <t>Tee</t>
  </si>
  <si>
    <t>8" X 6" Tee</t>
  </si>
  <si>
    <t>Valve Box</t>
  </si>
  <si>
    <t>6" Valve Box</t>
  </si>
  <si>
    <t>Water Line</t>
  </si>
  <si>
    <t>8" Waterline (Alternate)</t>
  </si>
  <si>
    <t>Wye</t>
  </si>
  <si>
    <t>6" X 6" Wye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</si>
</sst>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* #,##0.00_ ;_ * \-#,##0.00_ ;_ * &quot;-&quot;??.00_ ;_ @_ "/>
    <numFmt numFmtId="165" formatCode="_ * #,##0_ ;_ * \-#,##0_ ;_ * &quot;-&quot;??_ ;_ @_ "/>
    <numFmt numFmtId="166" formatCode="_ * #,##0.00_ ;_ * \-#,##0.00_ ;_ * &quot;-&quot;??_ ;_ @_ "/>
  </numFmts>
  <fonts count="1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12"/>
      <name val="Calibri"/>
      <charset val="134"/>
      <scheme val="minor"/>
    </font>
    <font>
      <sz val="11"/>
      <name val="Calibri"/>
      <charset val="134"/>
      <scheme val="minor"/>
    </font>
    <font>
      <b/>
      <sz val="12"/>
      <name val="Calibri"/>
      <charset val="134"/>
      <scheme val="minor"/>
    </font>
    <font>
      <b/>
      <i/>
      <sz val="11"/>
      <name val="Calibri"/>
      <charset val="134"/>
      <scheme val="minor"/>
    </font>
    <font>
      <b/>
      <sz val="11"/>
      <color theme="1"/>
      <name val="Calibri"/>
      <charset val="134"/>
    </font>
    <font>
      <b/>
      <sz val="11"/>
      <color rgb="FFFFFF00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rgb="FFC00000"/>
        <bgColor rgb="FFC00000"/>
      </patternFill>
    </fill>
    <fill>
      <patternFill patternType="solid">
        <fgColor rgb="FFBDD6EE"/>
        <bgColor rgb="FFBDD6EE"/>
      </patternFill>
    </fill>
    <fill>
      <patternFill patternType="solid">
        <fgColor theme="0" tint="-0.14990691854609822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166" fontId="12" fillId="0" borderId="0" applyFont="0" applyFill="0" applyBorder="0" applyAlignment="0" applyProtection="0">
      <alignment vertical="center"/>
    </xf>
  </cellStyleXfs>
  <cellXfs count="181">
    <xf numFmtId="0" fontId="0" fillId="0" borderId="0" xfId="0">
      <alignment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165" fontId="0" fillId="2" borderId="0" xfId="1" applyNumberFormat="1" applyFont="1" applyFill="1" applyAlignment="1">
      <alignment vertical="center"/>
    </xf>
    <xf numFmtId="165" fontId="3" fillId="4" borderId="1" xfId="1" applyNumberFormat="1" applyFont="1" applyFill="1" applyBorder="1">
      <alignment vertical="center"/>
    </xf>
    <xf numFmtId="165" fontId="3" fillId="4" borderId="4" xfId="1" applyNumberFormat="1" applyFont="1" applyFill="1" applyBorder="1">
      <alignment vertical="center"/>
    </xf>
    <xf numFmtId="165" fontId="3" fillId="5" borderId="5" xfId="1" applyNumberFormat="1" applyFont="1" applyFill="1" applyBorder="1">
      <alignment vertical="center"/>
    </xf>
    <xf numFmtId="165" fontId="3" fillId="5" borderId="6" xfId="1" applyNumberFormat="1" applyFont="1" applyFill="1" applyBorder="1">
      <alignment vertical="center"/>
    </xf>
    <xf numFmtId="165" fontId="3" fillId="5" borderId="7" xfId="1" applyNumberFormat="1" applyFont="1" applyFill="1" applyBorder="1">
      <alignment vertical="center"/>
    </xf>
    <xf numFmtId="0" fontId="1" fillId="2" borderId="8" xfId="0" applyFont="1" applyFill="1" applyBorder="1" applyAlignment="1">
      <alignment vertical="center"/>
    </xf>
    <xf numFmtId="0" fontId="0" fillId="2" borderId="9" xfId="0" applyFill="1" applyBorder="1" applyAlignment="1">
      <alignment vertical="center"/>
    </xf>
    <xf numFmtId="165" fontId="0" fillId="2" borderId="9" xfId="1" applyNumberFormat="1" applyFont="1" applyFill="1" applyBorder="1" applyAlignment="1">
      <alignment vertical="center"/>
    </xf>
    <xf numFmtId="165" fontId="0" fillId="2" borderId="10" xfId="1" applyNumberFormat="1" applyFont="1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165" fontId="0" fillId="2" borderId="13" xfId="1" applyNumberFormat="1" applyFont="1" applyFill="1" applyBorder="1" applyAlignment="1">
      <alignment vertical="center"/>
    </xf>
    <xf numFmtId="165" fontId="0" fillId="2" borderId="14" xfId="1" applyNumberFormat="1" applyFont="1" applyFill="1" applyBorder="1" applyAlignment="1">
      <alignment vertical="center"/>
    </xf>
    <xf numFmtId="0" fontId="1" fillId="5" borderId="8" xfId="0" applyFont="1" applyFill="1" applyBorder="1" applyAlignment="1">
      <alignment vertical="center"/>
    </xf>
    <xf numFmtId="0" fontId="0" fillId="5" borderId="9" xfId="0" applyFill="1" applyBorder="1" applyAlignment="1">
      <alignment vertical="center"/>
    </xf>
    <xf numFmtId="165" fontId="0" fillId="5" borderId="9" xfId="1" applyNumberFormat="1" applyFont="1" applyFill="1" applyBorder="1" applyAlignment="1">
      <alignment vertical="center"/>
    </xf>
    <xf numFmtId="165" fontId="0" fillId="5" borderId="10" xfId="1" applyNumberFormat="1" applyFont="1" applyFill="1" applyBorder="1" applyAlignment="1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1" fillId="2" borderId="8" xfId="0" applyFont="1" applyFill="1" applyBorder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1" fillId="2" borderId="11" xfId="0" applyFont="1" applyFill="1" applyBorder="1">
      <alignment vertical="center"/>
    </xf>
    <xf numFmtId="0" fontId="0" fillId="2" borderId="16" xfId="0" applyFill="1" applyBorder="1">
      <alignment vertical="center"/>
    </xf>
    <xf numFmtId="0" fontId="0" fillId="2" borderId="17" xfId="0" applyFill="1" applyBorder="1">
      <alignment vertical="center"/>
    </xf>
    <xf numFmtId="0" fontId="1" fillId="2" borderId="18" xfId="0" applyFont="1" applyFill="1" applyBorder="1">
      <alignment vertical="center"/>
    </xf>
    <xf numFmtId="0" fontId="0" fillId="2" borderId="19" xfId="0" applyFill="1" applyBorder="1">
      <alignment vertical="center"/>
    </xf>
    <xf numFmtId="0" fontId="0" fillId="2" borderId="20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10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1" fillId="2" borderId="12" xfId="0" applyFon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14" xfId="0" applyFill="1" applyBorder="1">
      <alignment vertical="center"/>
    </xf>
    <xf numFmtId="0" fontId="1" fillId="2" borderId="5" xfId="0" applyFont="1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4" fillId="2" borderId="0" xfId="0" applyFont="1" applyFill="1" applyAlignment="1">
      <alignment vertical="center"/>
    </xf>
    <xf numFmtId="0" fontId="1" fillId="6" borderId="8" xfId="0" applyFont="1" applyFill="1" applyBorder="1" applyAlignment="1">
      <alignment vertical="center"/>
    </xf>
    <xf numFmtId="0" fontId="0" fillId="6" borderId="9" xfId="0" applyFill="1" applyBorder="1" applyAlignment="1">
      <alignment vertical="center"/>
    </xf>
    <xf numFmtId="165" fontId="0" fillId="6" borderId="9" xfId="1" applyNumberFormat="1" applyFont="1" applyFill="1" applyBorder="1" applyAlignment="1">
      <alignment vertical="center"/>
    </xf>
    <xf numFmtId="165" fontId="0" fillId="6" borderId="10" xfId="1" applyNumberFormat="1" applyFont="1" applyFill="1" applyBorder="1" applyAlignment="1">
      <alignment vertical="center"/>
    </xf>
    <xf numFmtId="0" fontId="4" fillId="7" borderId="8" xfId="0" applyFont="1" applyFill="1" applyBorder="1" applyAlignment="1">
      <alignment vertical="center"/>
    </xf>
    <xf numFmtId="0" fontId="4" fillId="7" borderId="9" xfId="0" applyFont="1" applyFill="1" applyBorder="1" applyAlignment="1">
      <alignment vertical="center"/>
    </xf>
    <xf numFmtId="165" fontId="4" fillId="7" borderId="9" xfId="1" applyNumberFormat="1" applyFont="1" applyFill="1" applyBorder="1" applyAlignment="1">
      <alignment vertical="center"/>
    </xf>
    <xf numFmtId="165" fontId="4" fillId="7" borderId="10" xfId="1" applyNumberFormat="1" applyFont="1" applyFill="1" applyBorder="1" applyAlignment="1">
      <alignment vertical="center"/>
    </xf>
    <xf numFmtId="165" fontId="0" fillId="2" borderId="0" xfId="1" applyNumberFormat="1" applyFill="1">
      <alignment vertical="center"/>
    </xf>
    <xf numFmtId="165" fontId="3" fillId="4" borderId="2" xfId="1" applyNumberFormat="1" applyFont="1" applyFill="1" applyBorder="1">
      <alignment vertical="center"/>
    </xf>
    <xf numFmtId="165" fontId="3" fillId="4" borderId="3" xfId="1" applyNumberFormat="1" applyFont="1" applyFill="1" applyBorder="1">
      <alignment vertical="center"/>
    </xf>
    <xf numFmtId="165" fontId="0" fillId="2" borderId="9" xfId="1" applyNumberFormat="1" applyFill="1" applyBorder="1">
      <alignment vertical="center"/>
    </xf>
    <xf numFmtId="165" fontId="0" fillId="2" borderId="10" xfId="1" applyNumberFormat="1" applyFill="1" applyBorder="1">
      <alignment vertical="center"/>
    </xf>
    <xf numFmtId="165" fontId="5" fillId="8" borderId="8" xfId="1" applyNumberFormat="1" applyFont="1" applyFill="1" applyBorder="1">
      <alignment vertical="center"/>
    </xf>
    <xf numFmtId="165" fontId="5" fillId="8" borderId="9" xfId="1" applyNumberFormat="1" applyFont="1" applyFill="1" applyBorder="1">
      <alignment vertical="center"/>
    </xf>
    <xf numFmtId="165" fontId="5" fillId="8" borderId="10" xfId="1" applyNumberFormat="1" applyFont="1" applyFill="1" applyBorder="1">
      <alignment vertical="center"/>
    </xf>
    <xf numFmtId="165" fontId="5" fillId="2" borderId="8" xfId="1" applyNumberFormat="1" applyFont="1" applyFill="1" applyBorder="1">
      <alignment vertical="center"/>
    </xf>
    <xf numFmtId="165" fontId="5" fillId="2" borderId="9" xfId="1" applyNumberFormat="1" applyFont="1" applyFill="1" applyBorder="1">
      <alignment vertical="center"/>
    </xf>
    <xf numFmtId="165" fontId="5" fillId="2" borderId="10" xfId="1" applyNumberFormat="1" applyFont="1" applyFill="1" applyBorder="1">
      <alignment vertical="center"/>
    </xf>
    <xf numFmtId="165" fontId="1" fillId="2" borderId="8" xfId="1" applyNumberFormat="1" applyFont="1" applyFill="1" applyBorder="1">
      <alignment vertical="center"/>
    </xf>
    <xf numFmtId="165" fontId="1" fillId="2" borderId="9" xfId="1" applyNumberFormat="1" applyFont="1" applyFill="1" applyBorder="1">
      <alignment vertical="center"/>
    </xf>
    <xf numFmtId="165" fontId="1" fillId="2" borderId="10" xfId="1" applyNumberFormat="1" applyFont="1" applyFill="1" applyBorder="1">
      <alignment vertical="center"/>
    </xf>
    <xf numFmtId="165" fontId="3" fillId="5" borderId="8" xfId="1" applyNumberFormat="1" applyFont="1" applyFill="1" applyBorder="1">
      <alignment vertical="center"/>
    </xf>
    <xf numFmtId="165" fontId="3" fillId="5" borderId="9" xfId="1" applyNumberFormat="1" applyFont="1" applyFill="1" applyBorder="1">
      <alignment vertical="center"/>
    </xf>
    <xf numFmtId="165" fontId="3" fillId="5" borderId="10" xfId="1" applyNumberFormat="1" applyFont="1" applyFill="1" applyBorder="1">
      <alignment vertical="center"/>
    </xf>
    <xf numFmtId="165" fontId="5" fillId="8" borderId="12" xfId="1" applyNumberFormat="1" applyFont="1" applyFill="1" applyBorder="1">
      <alignment vertical="center"/>
    </xf>
    <xf numFmtId="165" fontId="5" fillId="8" borderId="13" xfId="1" applyNumberFormat="1" applyFont="1" applyFill="1" applyBorder="1">
      <alignment vertical="center"/>
    </xf>
    <xf numFmtId="165" fontId="5" fillId="8" borderId="14" xfId="1" applyNumberFormat="1" applyFont="1" applyFill="1" applyBorder="1">
      <alignment vertical="center"/>
    </xf>
    <xf numFmtId="164" fontId="0" fillId="2" borderId="0" xfId="1" applyNumberFormat="1" applyFill="1">
      <alignment vertical="center"/>
    </xf>
    <xf numFmtId="0" fontId="6" fillId="9" borderId="0" xfId="0" applyFont="1" applyFill="1" applyAlignment="1"/>
    <xf numFmtId="0" fontId="0" fillId="0" borderId="0" xfId="0" applyFill="1" applyAlignment="1"/>
    <xf numFmtId="0" fontId="7" fillId="9" borderId="0" xfId="0" applyFont="1" applyFill="1" applyAlignment="1"/>
    <xf numFmtId="0" fontId="7" fillId="2" borderId="0" xfId="0" applyFont="1" applyFill="1" applyAlignment="1"/>
    <xf numFmtId="0" fontId="6" fillId="2" borderId="0" xfId="0" applyFont="1" applyFill="1" applyAlignment="1"/>
    <xf numFmtId="0" fontId="3" fillId="10" borderId="18" xfId="0" applyFont="1" applyFill="1" applyBorder="1" applyAlignment="1"/>
    <xf numFmtId="0" fontId="3" fillId="10" borderId="19" xfId="0" applyFont="1" applyFill="1" applyBorder="1" applyAlignment="1"/>
    <xf numFmtId="0" fontId="3" fillId="10" borderId="20" xfId="0" applyFont="1" applyFill="1" applyBorder="1" applyAlignment="1"/>
    <xf numFmtId="0" fontId="3" fillId="10" borderId="8" xfId="0" applyFont="1" applyFill="1" applyBorder="1" applyAlignment="1"/>
    <xf numFmtId="0" fontId="3" fillId="10" borderId="9" xfId="0" applyFont="1" applyFill="1" applyBorder="1" applyAlignment="1"/>
    <xf numFmtId="0" fontId="3" fillId="10" borderId="10" xfId="0" applyFont="1" applyFill="1" applyBorder="1" applyAlignment="1"/>
    <xf numFmtId="0" fontId="8" fillId="5" borderId="8" xfId="0" applyFont="1" applyFill="1" applyBorder="1" applyAlignment="1"/>
    <xf numFmtId="0" fontId="8" fillId="5" borderId="9" xfId="0" applyFont="1" applyFill="1" applyBorder="1" applyAlignment="1"/>
    <xf numFmtId="0" fontId="8" fillId="5" borderId="10" xfId="0" applyFont="1" applyFill="1" applyBorder="1" applyAlignment="1"/>
    <xf numFmtId="0" fontId="8" fillId="4" borderId="8" xfId="0" applyFont="1" applyFill="1" applyBorder="1" applyAlignment="1">
      <alignment horizontal="left"/>
    </xf>
    <xf numFmtId="0" fontId="8" fillId="4" borderId="9" xfId="0" applyFont="1" applyFill="1" applyBorder="1" applyAlignment="1"/>
    <xf numFmtId="0" fontId="4" fillId="4" borderId="10" xfId="0" applyFont="1" applyFill="1" applyBorder="1" applyAlignment="1">
      <alignment vertical="center"/>
    </xf>
    <xf numFmtId="0" fontId="0" fillId="2" borderId="8" xfId="0" applyFont="1" applyFill="1" applyBorder="1" applyAlignment="1">
      <alignment vertical="center"/>
    </xf>
    <xf numFmtId="0" fontId="6" fillId="2" borderId="9" xfId="0" applyFont="1" applyFill="1" applyBorder="1" applyAlignment="1"/>
    <xf numFmtId="0" fontId="0" fillId="2" borderId="10" xfId="0" applyFont="1" applyFill="1" applyBorder="1" applyAlignment="1">
      <alignment vertical="center"/>
    </xf>
    <xf numFmtId="0" fontId="0" fillId="11" borderId="8" xfId="0" applyFont="1" applyFill="1" applyBorder="1" applyAlignment="1">
      <alignment vertical="center"/>
    </xf>
    <xf numFmtId="0" fontId="6" fillId="11" borderId="9" xfId="0" applyFont="1" applyFill="1" applyBorder="1" applyAlignment="1"/>
    <xf numFmtId="0" fontId="0" fillId="11" borderId="10" xfId="0" applyFont="1" applyFill="1" applyBorder="1" applyAlignment="1">
      <alignment vertical="center"/>
    </xf>
    <xf numFmtId="0" fontId="0" fillId="2" borderId="12" xfId="0" applyFont="1" applyFill="1" applyBorder="1" applyAlignment="1">
      <alignment vertical="center"/>
    </xf>
    <xf numFmtId="0" fontId="6" fillId="2" borderId="13" xfId="0" applyFont="1" applyFill="1" applyBorder="1" applyAlignment="1"/>
    <xf numFmtId="0" fontId="0" fillId="2" borderId="14" xfId="0" applyFont="1" applyFill="1" applyBorder="1" applyAlignment="1">
      <alignment vertical="center"/>
    </xf>
    <xf numFmtId="0" fontId="6" fillId="9" borderId="0" xfId="0" applyFont="1" applyFill="1" applyBorder="1" applyAlignment="1"/>
    <xf numFmtId="0" fontId="3" fillId="12" borderId="21" xfId="0" applyFont="1" applyFill="1" applyBorder="1" applyAlignment="1"/>
    <xf numFmtId="0" fontId="6" fillId="12" borderId="22" xfId="0" applyFont="1" applyFill="1" applyBorder="1" applyAlignment="1"/>
    <xf numFmtId="0" fontId="3" fillId="12" borderId="23" xfId="0" applyFont="1" applyFill="1" applyBorder="1" applyAlignment="1"/>
    <xf numFmtId="0" fontId="6" fillId="2" borderId="21" xfId="0" applyFont="1" applyFill="1" applyBorder="1" applyAlignment="1"/>
    <xf numFmtId="0" fontId="6" fillId="2" borderId="27" xfId="0" applyFont="1" applyFill="1" applyBorder="1" applyAlignment="1"/>
    <xf numFmtId="0" fontId="6" fillId="2" borderId="23" xfId="0" applyFont="1" applyFill="1" applyBorder="1" applyAlignment="1"/>
    <xf numFmtId="0" fontId="6" fillId="2" borderId="28" xfId="0" applyFont="1" applyFill="1" applyBorder="1" applyAlignment="1"/>
    <xf numFmtId="0" fontId="6" fillId="2" borderId="29" xfId="0" applyFont="1" applyFill="1" applyBorder="1" applyAlignment="1"/>
    <xf numFmtId="0" fontId="6" fillId="2" borderId="30" xfId="0" applyFont="1" applyFill="1" applyBorder="1" applyAlignment="1"/>
    <xf numFmtId="0" fontId="6" fillId="2" borderId="24" xfId="0" applyFont="1" applyFill="1" applyBorder="1" applyAlignment="1"/>
    <xf numFmtId="0" fontId="6" fillId="2" borderId="31" xfId="0" applyFont="1" applyFill="1" applyBorder="1" applyAlignment="1"/>
    <xf numFmtId="0" fontId="6" fillId="2" borderId="26" xfId="0" applyFont="1" applyFill="1" applyBorder="1" applyAlignment="1"/>
    <xf numFmtId="0" fontId="7" fillId="7" borderId="21" xfId="0" applyFont="1" applyFill="1" applyBorder="1" applyAlignment="1"/>
    <xf numFmtId="0" fontId="7" fillId="7" borderId="27" xfId="0" applyFont="1" applyFill="1" applyBorder="1" applyAlignment="1"/>
    <xf numFmtId="0" fontId="7" fillId="7" borderId="23" xfId="0" applyFont="1" applyFill="1" applyBorder="1" applyAlignment="1"/>
    <xf numFmtId="0" fontId="7" fillId="13" borderId="21" xfId="0" applyFont="1" applyFill="1" applyBorder="1" applyAlignment="1"/>
    <xf numFmtId="0" fontId="7" fillId="13" borderId="22" xfId="0" applyFont="1" applyFill="1" applyBorder="1" applyAlignment="1"/>
    <xf numFmtId="0" fontId="7" fillId="2" borderId="21" xfId="0" applyFont="1" applyFill="1" applyBorder="1" applyAlignment="1"/>
    <xf numFmtId="0" fontId="7" fillId="2" borderId="27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7" fillId="2" borderId="27" xfId="0" applyFont="1" applyFill="1" applyBorder="1" applyAlignment="1"/>
    <xf numFmtId="0" fontId="7" fillId="13" borderId="23" xfId="0" applyFont="1" applyFill="1" applyBorder="1" applyAlignment="1"/>
    <xf numFmtId="0" fontId="7" fillId="2" borderId="23" xfId="0" applyFont="1" applyFill="1" applyBorder="1" applyAlignment="1"/>
    <xf numFmtId="0" fontId="7" fillId="9" borderId="0" xfId="0" applyFont="1" applyFill="1" applyAlignment="1">
      <alignment horizontal="center"/>
    </xf>
    <xf numFmtId="0" fontId="0" fillId="2" borderId="0" xfId="0" applyFill="1" applyAlignment="1">
      <alignment horizontal="left" vertical="center"/>
    </xf>
    <xf numFmtId="165" fontId="0" fillId="2" borderId="0" xfId="1" applyNumberFormat="1" applyFont="1" applyFill="1">
      <alignment vertical="center"/>
    </xf>
    <xf numFmtId="0" fontId="9" fillId="14" borderId="32" xfId="0" applyFont="1" applyFill="1" applyBorder="1" applyAlignment="1">
      <alignment vertical="center"/>
    </xf>
    <xf numFmtId="0" fontId="9" fillId="14" borderId="33" xfId="0" applyFont="1" applyFill="1" applyBorder="1" applyAlignment="1">
      <alignment vertical="center"/>
    </xf>
    <xf numFmtId="0" fontId="9" fillId="16" borderId="36" xfId="0" applyFont="1" applyFill="1" applyBorder="1" applyAlignment="1">
      <alignment horizontal="center" vertical="center"/>
    </xf>
    <xf numFmtId="0" fontId="9" fillId="16" borderId="39" xfId="0" applyFont="1" applyFill="1" applyBorder="1" applyAlignment="1">
      <alignment horizontal="center" vertical="center"/>
    </xf>
    <xf numFmtId="0" fontId="10" fillId="15" borderId="32" xfId="0" applyFont="1" applyFill="1" applyBorder="1" applyAlignment="1">
      <alignment horizontal="center" vertical="center"/>
    </xf>
    <xf numFmtId="0" fontId="1" fillId="17" borderId="40" xfId="0" applyFont="1" applyFill="1" applyBorder="1" applyAlignment="1">
      <alignment horizontal="left" vertical="center"/>
    </xf>
    <xf numFmtId="0" fontId="0" fillId="2" borderId="41" xfId="0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17" borderId="42" xfId="0" applyFont="1" applyFill="1" applyBorder="1" applyAlignment="1">
      <alignment horizontal="left" vertical="center"/>
    </xf>
    <xf numFmtId="0" fontId="0" fillId="2" borderId="42" xfId="0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17" borderId="43" xfId="0" applyFont="1" applyFill="1" applyBorder="1" applyAlignment="1">
      <alignment horizontal="left" vertical="center"/>
    </xf>
    <xf numFmtId="0" fontId="0" fillId="2" borderId="43" xfId="0" applyFill="1" applyBorder="1" applyAlignment="1">
      <alignment horizontal="center" vertical="center"/>
    </xf>
    <xf numFmtId="0" fontId="1" fillId="12" borderId="4" xfId="0" applyFont="1" applyFill="1" applyBorder="1" applyAlignment="1">
      <alignment horizontal="left" vertical="center"/>
    </xf>
    <xf numFmtId="0" fontId="1" fillId="12" borderId="4" xfId="0" applyNumberFormat="1" applyFont="1" applyFill="1" applyBorder="1" applyAlignment="1">
      <alignment horizontal="center" vertical="center"/>
    </xf>
    <xf numFmtId="0" fontId="1" fillId="12" borderId="44" xfId="0" applyNumberFormat="1" applyFont="1" applyFill="1" applyBorder="1" applyAlignment="1">
      <alignment horizontal="center" vertical="center"/>
    </xf>
    <xf numFmtId="165" fontId="9" fillId="14" borderId="33" xfId="1" applyNumberFormat="1" applyFont="1" applyFill="1" applyBorder="1" applyAlignment="1">
      <alignment vertical="center"/>
    </xf>
    <xf numFmtId="165" fontId="9" fillId="16" borderId="48" xfId="1" applyNumberFormat="1" applyFont="1" applyFill="1" applyBorder="1" applyAlignment="1">
      <alignment horizontal="center" vertical="center"/>
    </xf>
    <xf numFmtId="0" fontId="10" fillId="15" borderId="49" xfId="0" applyFont="1" applyFill="1" applyBorder="1" applyAlignment="1">
      <alignment horizontal="center" vertical="center"/>
    </xf>
    <xf numFmtId="165" fontId="9" fillId="16" borderId="39" xfId="1" applyNumberFormat="1" applyFont="1" applyFill="1" applyBorder="1" applyAlignment="1">
      <alignment horizontal="center" vertical="center"/>
    </xf>
    <xf numFmtId="165" fontId="0" fillId="2" borderId="41" xfId="1" applyNumberFormat="1" applyFont="1" applyFill="1" applyBorder="1" applyAlignment="1">
      <alignment horizontal="center" vertical="center"/>
    </xf>
    <xf numFmtId="165" fontId="0" fillId="2" borderId="42" xfId="1" applyNumberFormat="1" applyFont="1" applyFill="1" applyBorder="1" applyAlignment="1">
      <alignment horizontal="center" vertical="center"/>
    </xf>
    <xf numFmtId="165" fontId="0" fillId="2" borderId="43" xfId="1" applyNumberFormat="1" applyFont="1" applyFill="1" applyBorder="1" applyAlignment="1">
      <alignment horizontal="center" vertical="center"/>
    </xf>
    <xf numFmtId="165" fontId="1" fillId="12" borderId="4" xfId="1" applyNumberFormat="1" applyFont="1" applyFill="1" applyBorder="1" applyAlignment="1">
      <alignment horizontal="center" vertical="center"/>
    </xf>
    <xf numFmtId="165" fontId="9" fillId="14" borderId="50" xfId="1" applyNumberFormat="1" applyFont="1" applyFill="1" applyBorder="1" applyAlignment="1">
      <alignment vertical="center"/>
    </xf>
    <xf numFmtId="165" fontId="10" fillId="15" borderId="53" xfId="1" applyNumberFormat="1" applyFont="1" applyFill="1" applyBorder="1" applyAlignment="1">
      <alignment horizontal="center" vertical="center"/>
    </xf>
    <xf numFmtId="165" fontId="10" fillId="15" borderId="54" xfId="1" applyNumberFormat="1" applyFont="1" applyFill="1" applyBorder="1" applyAlignment="1">
      <alignment horizontal="center" vertical="center"/>
    </xf>
    <xf numFmtId="165" fontId="1" fillId="2" borderId="41" xfId="1" applyNumberFormat="1" applyFont="1" applyFill="1" applyBorder="1" applyAlignment="1">
      <alignment horizontal="center" vertical="center"/>
    </xf>
    <xf numFmtId="165" fontId="1" fillId="2" borderId="42" xfId="1" applyNumberFormat="1" applyFont="1" applyFill="1" applyBorder="1" applyAlignment="1">
      <alignment horizontal="center" vertical="center"/>
    </xf>
    <xf numFmtId="165" fontId="1" fillId="12" borderId="44" xfId="1" applyNumberFormat="1" applyFont="1" applyFill="1" applyBorder="1" applyAlignment="1">
      <alignment horizontal="center" vertical="center"/>
    </xf>
    <xf numFmtId="0" fontId="9" fillId="16" borderId="35" xfId="0" applyFont="1" applyFill="1" applyBorder="1" applyAlignment="1">
      <alignment horizontal="center" vertical="center"/>
    </xf>
    <xf numFmtId="0" fontId="11" fillId="0" borderId="38" xfId="0" applyFont="1" applyFill="1" applyBorder="1" applyAlignment="1">
      <alignment vertical="center"/>
    </xf>
    <xf numFmtId="0" fontId="9" fillId="16" borderId="47" xfId="0" applyFont="1" applyFill="1" applyBorder="1" applyAlignment="1">
      <alignment horizontal="center" vertical="center"/>
    </xf>
    <xf numFmtId="0" fontId="10" fillId="15" borderId="34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/>
    </xf>
    <xf numFmtId="0" fontId="11" fillId="0" borderId="37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/>
    </xf>
    <xf numFmtId="165" fontId="10" fillId="15" borderId="34" xfId="1" applyNumberFormat="1" applyFont="1" applyFill="1" applyBorder="1" applyAlignment="1">
      <alignment vertical="center" wrapText="1"/>
    </xf>
    <xf numFmtId="165" fontId="11" fillId="0" borderId="45" xfId="1" applyNumberFormat="1" applyFont="1" applyFill="1" applyBorder="1" applyAlignment="1">
      <alignment vertical="center"/>
    </xf>
    <xf numFmtId="165" fontId="11" fillId="0" borderId="51" xfId="1" applyNumberFormat="1" applyFont="1" applyFill="1" applyBorder="1" applyAlignment="1">
      <alignment vertical="center"/>
    </xf>
    <xf numFmtId="165" fontId="11" fillId="0" borderId="52" xfId="1" applyNumberFormat="1" applyFont="1" applyFill="1" applyBorder="1" applyAlignment="1">
      <alignment vertical="center"/>
    </xf>
    <xf numFmtId="0" fontId="6" fillId="12" borderId="24" xfId="0" applyFont="1" applyFill="1" applyBorder="1" applyAlignment="1">
      <alignment horizontal="center"/>
    </xf>
    <xf numFmtId="0" fontId="6" fillId="12" borderId="25" xfId="0" applyFont="1" applyFill="1" applyBorder="1" applyAlignment="1">
      <alignment horizontal="center"/>
    </xf>
    <xf numFmtId="0" fontId="6" fillId="12" borderId="26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165" fontId="2" fillId="3" borderId="1" xfId="1" applyNumberFormat="1" applyFont="1" applyFill="1" applyBorder="1" applyAlignment="1">
      <alignment horizontal="center" vertical="center"/>
    </xf>
    <xf numFmtId="165" fontId="0" fillId="3" borderId="2" xfId="1" applyNumberFormat="1" applyFont="1" applyFill="1" applyBorder="1" applyAlignment="1">
      <alignment horizontal="center" vertical="center"/>
    </xf>
    <xf numFmtId="165" fontId="0" fillId="3" borderId="3" xfId="1" applyNumberFormat="1" applyFont="1" applyFill="1" applyBorder="1" applyAlignment="1">
      <alignment horizontal="center" vertical="center"/>
    </xf>
    <xf numFmtId="165" fontId="1" fillId="2" borderId="8" xfId="1" applyNumberFormat="1" applyFont="1" applyFill="1" applyBorder="1" applyAlignment="1">
      <alignment horizontal="left" vertical="center"/>
    </xf>
    <xf numFmtId="165" fontId="2" fillId="3" borderId="2" xfId="1" applyNumberFormat="1" applyFont="1" applyFill="1" applyBorder="1" applyAlignment="1">
      <alignment horizontal="center" vertical="center"/>
    </xf>
    <xf numFmtId="165" fontId="2" fillId="3" borderId="3" xfId="1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2"/>
  <sheetViews>
    <sheetView zoomScale="110" zoomScaleNormal="110" workbookViewId="0">
      <selection activeCell="N21" sqref="N21"/>
    </sheetView>
  </sheetViews>
  <sheetFormatPr defaultColWidth="8.85546875" defaultRowHeight="15"/>
  <cols>
    <col min="1" max="1" width="18.42578125" style="123" customWidth="1"/>
    <col min="2" max="2" width="19" style="123" customWidth="1"/>
    <col min="3" max="6" width="11.5703125" style="123" customWidth="1"/>
    <col min="7" max="7" width="14" style="23" customWidth="1"/>
    <col min="8" max="9" width="10.7109375" style="23" customWidth="1"/>
    <col min="10" max="10" width="8.85546875" style="23"/>
    <col min="11" max="11" width="19" style="23" customWidth="1"/>
    <col min="12" max="12" width="8.42578125" style="124" customWidth="1"/>
    <col min="13" max="17" width="7.42578125" style="124" customWidth="1"/>
    <col min="18" max="18" width="10.7109375" style="124" customWidth="1"/>
    <col min="19" max="19" width="5.28515625" style="124" customWidth="1"/>
    <col min="20" max="20" width="5.28515625" style="23" customWidth="1"/>
    <col min="21" max="16384" width="8.85546875" style="23"/>
  </cols>
  <sheetData>
    <row r="2" spans="2:19">
      <c r="B2" s="125" t="s">
        <v>0</v>
      </c>
      <c r="C2" s="126">
        <v>1</v>
      </c>
      <c r="D2" s="126" t="s">
        <v>1</v>
      </c>
      <c r="E2" s="126"/>
      <c r="F2" s="126"/>
      <c r="G2" s="126"/>
      <c r="H2" s="158" t="s">
        <v>2</v>
      </c>
      <c r="I2" s="159"/>
      <c r="K2" s="125" t="s">
        <v>3</v>
      </c>
      <c r="L2" s="141"/>
      <c r="M2" s="141">
        <v>1</v>
      </c>
      <c r="N2" s="141" t="s">
        <v>1</v>
      </c>
      <c r="O2" s="141"/>
      <c r="P2" s="141"/>
      <c r="Q2" s="149"/>
      <c r="R2" s="162" t="s">
        <v>2</v>
      </c>
      <c r="S2" s="163"/>
    </row>
    <row r="3" spans="2:19">
      <c r="B3" s="155" t="s">
        <v>4</v>
      </c>
      <c r="C3" s="127" t="s">
        <v>5</v>
      </c>
      <c r="D3" s="127" t="s">
        <v>6</v>
      </c>
      <c r="E3" s="127" t="s">
        <v>7</v>
      </c>
      <c r="F3" s="127" t="s">
        <v>8</v>
      </c>
      <c r="G3" s="127" t="s">
        <v>9</v>
      </c>
      <c r="H3" s="160"/>
      <c r="I3" s="161"/>
      <c r="K3" s="157" t="s">
        <v>4</v>
      </c>
      <c r="L3" s="142" t="s">
        <v>10</v>
      </c>
      <c r="M3" s="142" t="s">
        <v>5</v>
      </c>
      <c r="N3" s="142" t="s">
        <v>6</v>
      </c>
      <c r="O3" s="142" t="s">
        <v>7</v>
      </c>
      <c r="P3" s="142" t="s">
        <v>8</v>
      </c>
      <c r="Q3" s="142" t="s">
        <v>9</v>
      </c>
      <c r="R3" s="164"/>
      <c r="S3" s="165"/>
    </row>
    <row r="4" spans="2:19">
      <c r="B4" s="156"/>
      <c r="C4" s="128" t="s">
        <v>11</v>
      </c>
      <c r="D4" s="128" t="s">
        <v>11</v>
      </c>
      <c r="E4" s="128" t="s">
        <v>11</v>
      </c>
      <c r="F4" s="128" t="s">
        <v>11</v>
      </c>
      <c r="G4" s="128" t="s">
        <v>11</v>
      </c>
      <c r="H4" s="129" t="s">
        <v>12</v>
      </c>
      <c r="I4" s="143" t="s">
        <v>13</v>
      </c>
      <c r="K4" s="156"/>
      <c r="L4" s="144" t="s">
        <v>14</v>
      </c>
      <c r="M4" s="144" t="s">
        <v>14</v>
      </c>
      <c r="N4" s="144" t="s">
        <v>14</v>
      </c>
      <c r="O4" s="144" t="s">
        <v>14</v>
      </c>
      <c r="P4" s="144" t="s">
        <v>14</v>
      </c>
      <c r="Q4" s="144" t="s">
        <v>14</v>
      </c>
      <c r="R4" s="150" t="s">
        <v>15</v>
      </c>
      <c r="S4" s="151" t="s">
        <v>13</v>
      </c>
    </row>
    <row r="5" spans="2:19">
      <c r="B5" s="130" t="s">
        <v>16</v>
      </c>
      <c r="C5" s="131">
        <v>1</v>
      </c>
      <c r="D5" s="131">
        <v>2</v>
      </c>
      <c r="E5" s="131">
        <v>2</v>
      </c>
      <c r="F5" s="131">
        <v>2</v>
      </c>
      <c r="G5" s="131">
        <v>1</v>
      </c>
      <c r="H5" s="132">
        <f t="shared" ref="H5:H11" si="0">SUM(C5:G5)</f>
        <v>8</v>
      </c>
      <c r="I5" s="132" t="s">
        <v>1</v>
      </c>
      <c r="K5" s="130" t="s">
        <v>16</v>
      </c>
      <c r="L5" s="145">
        <v>454.16</v>
      </c>
      <c r="M5" s="145">
        <f t="shared" ref="M5:M11" si="1">C5*L5</f>
        <v>454.16</v>
      </c>
      <c r="N5" s="145">
        <f t="shared" ref="N5:N11" si="2">L5*D5</f>
        <v>908.32</v>
      </c>
      <c r="O5" s="145">
        <f t="shared" ref="O5:O11" si="3">L5*E5</f>
        <v>908.32</v>
      </c>
      <c r="P5" s="145">
        <f t="shared" ref="P5:P11" si="4">L5*F5</f>
        <v>908.32</v>
      </c>
      <c r="Q5" s="145">
        <f t="shared" ref="Q5:Q11" si="5">L5*G5</f>
        <v>454.16</v>
      </c>
      <c r="R5" s="152">
        <f t="shared" ref="R5:R12" si="6">M5+N5+O5+P5+Q5</f>
        <v>3633.28</v>
      </c>
      <c r="S5" s="152" t="s">
        <v>1</v>
      </c>
    </row>
    <row r="6" spans="2:19">
      <c r="B6" s="133" t="s">
        <v>17</v>
      </c>
      <c r="C6" s="134">
        <v>1</v>
      </c>
      <c r="D6" s="134">
        <v>1</v>
      </c>
      <c r="E6" s="134">
        <v>1</v>
      </c>
      <c r="F6" s="134">
        <v>1</v>
      </c>
      <c r="G6" s="134">
        <v>1</v>
      </c>
      <c r="H6" s="135">
        <f t="shared" si="0"/>
        <v>5</v>
      </c>
      <c r="I6" s="135" t="s">
        <v>1</v>
      </c>
      <c r="K6" s="133" t="s">
        <v>17</v>
      </c>
      <c r="L6" s="146">
        <v>488.79</v>
      </c>
      <c r="M6" s="146">
        <f t="shared" si="1"/>
        <v>488.79</v>
      </c>
      <c r="N6" s="146">
        <f t="shared" si="2"/>
        <v>488.79</v>
      </c>
      <c r="O6" s="146">
        <f t="shared" si="3"/>
        <v>488.79</v>
      </c>
      <c r="P6" s="146">
        <f t="shared" si="4"/>
        <v>488.79</v>
      </c>
      <c r="Q6" s="146">
        <f t="shared" si="5"/>
        <v>488.79</v>
      </c>
      <c r="R6" s="153">
        <f t="shared" si="6"/>
        <v>2443.9499999999998</v>
      </c>
      <c r="S6" s="153" t="s">
        <v>1</v>
      </c>
    </row>
    <row r="7" spans="2:19">
      <c r="B7" s="133" t="s">
        <v>18</v>
      </c>
      <c r="C7" s="134">
        <v>7</v>
      </c>
      <c r="D7" s="134">
        <v>7</v>
      </c>
      <c r="E7" s="134">
        <v>7</v>
      </c>
      <c r="F7" s="134">
        <v>7</v>
      </c>
      <c r="G7" s="134">
        <v>7</v>
      </c>
      <c r="H7" s="135">
        <f t="shared" si="0"/>
        <v>35</v>
      </c>
      <c r="I7" s="135" t="s">
        <v>1</v>
      </c>
      <c r="K7" s="133" t="s">
        <v>18</v>
      </c>
      <c r="L7" s="146">
        <v>420</v>
      </c>
      <c r="M7" s="146">
        <f t="shared" si="1"/>
        <v>2940</v>
      </c>
      <c r="N7" s="146">
        <f t="shared" si="2"/>
        <v>2940</v>
      </c>
      <c r="O7" s="146">
        <f t="shared" si="3"/>
        <v>2940</v>
      </c>
      <c r="P7" s="146">
        <f t="shared" si="4"/>
        <v>2940</v>
      </c>
      <c r="Q7" s="146">
        <f t="shared" si="5"/>
        <v>2940</v>
      </c>
      <c r="R7" s="153">
        <f t="shared" si="6"/>
        <v>14700</v>
      </c>
      <c r="S7" s="153" t="s">
        <v>1</v>
      </c>
    </row>
    <row r="8" spans="2:19">
      <c r="B8" s="133" t="s">
        <v>19</v>
      </c>
      <c r="C8" s="134">
        <v>1</v>
      </c>
      <c r="D8" s="134">
        <v>1</v>
      </c>
      <c r="E8" s="134">
        <v>1</v>
      </c>
      <c r="F8" s="134">
        <v>1</v>
      </c>
      <c r="G8" s="134">
        <v>1</v>
      </c>
      <c r="H8" s="135">
        <f t="shared" si="0"/>
        <v>5</v>
      </c>
      <c r="I8" s="135" t="s">
        <v>1</v>
      </c>
      <c r="K8" s="133" t="s">
        <v>19</v>
      </c>
      <c r="L8" s="146">
        <v>535.22</v>
      </c>
      <c r="M8" s="146">
        <f t="shared" si="1"/>
        <v>535.22</v>
      </c>
      <c r="N8" s="146">
        <f t="shared" si="2"/>
        <v>535.22</v>
      </c>
      <c r="O8" s="146">
        <f t="shared" si="3"/>
        <v>535.22</v>
      </c>
      <c r="P8" s="146">
        <f t="shared" si="4"/>
        <v>535.22</v>
      </c>
      <c r="Q8" s="146">
        <f t="shared" si="5"/>
        <v>535.22</v>
      </c>
      <c r="R8" s="153">
        <f t="shared" si="6"/>
        <v>2676.1</v>
      </c>
      <c r="S8" s="153" t="s">
        <v>1</v>
      </c>
    </row>
    <row r="9" spans="2:19">
      <c r="B9" s="133" t="s">
        <v>20</v>
      </c>
      <c r="C9" s="134">
        <v>2</v>
      </c>
      <c r="D9" s="134">
        <v>2</v>
      </c>
      <c r="E9" s="134">
        <v>2</v>
      </c>
      <c r="F9" s="134">
        <v>2</v>
      </c>
      <c r="G9" s="134">
        <v>1</v>
      </c>
      <c r="H9" s="135">
        <f t="shared" si="0"/>
        <v>9</v>
      </c>
      <c r="I9" s="135" t="s">
        <v>1</v>
      </c>
      <c r="K9" s="133" t="s">
        <v>20</v>
      </c>
      <c r="L9" s="146">
        <v>850.58</v>
      </c>
      <c r="M9" s="146">
        <f t="shared" si="1"/>
        <v>1701.16</v>
      </c>
      <c r="N9" s="146">
        <f t="shared" si="2"/>
        <v>1701.16</v>
      </c>
      <c r="O9" s="146">
        <f t="shared" si="3"/>
        <v>1701.16</v>
      </c>
      <c r="P9" s="146">
        <f t="shared" si="4"/>
        <v>1701.16</v>
      </c>
      <c r="Q9" s="146">
        <f t="shared" si="5"/>
        <v>850.58</v>
      </c>
      <c r="R9" s="153">
        <f t="shared" si="6"/>
        <v>7655.22</v>
      </c>
      <c r="S9" s="153" t="s">
        <v>1</v>
      </c>
    </row>
    <row r="10" spans="2:19">
      <c r="B10" s="133" t="s">
        <v>21</v>
      </c>
      <c r="C10" s="134">
        <v>0</v>
      </c>
      <c r="D10" s="134">
        <v>0</v>
      </c>
      <c r="E10" s="134">
        <v>0</v>
      </c>
      <c r="F10" s="134">
        <v>0</v>
      </c>
      <c r="G10" s="134">
        <v>1</v>
      </c>
      <c r="H10" s="135">
        <f t="shared" si="0"/>
        <v>1</v>
      </c>
      <c r="I10" s="135" t="s">
        <v>1</v>
      </c>
      <c r="K10" s="133" t="s">
        <v>21</v>
      </c>
      <c r="L10" s="146">
        <v>1266.45</v>
      </c>
      <c r="M10" s="146">
        <f t="shared" si="1"/>
        <v>0</v>
      </c>
      <c r="N10" s="146">
        <f t="shared" si="2"/>
        <v>0</v>
      </c>
      <c r="O10" s="146">
        <f t="shared" si="3"/>
        <v>0</v>
      </c>
      <c r="P10" s="146">
        <f t="shared" si="4"/>
        <v>0</v>
      </c>
      <c r="Q10" s="146">
        <f t="shared" si="5"/>
        <v>1266.45</v>
      </c>
      <c r="R10" s="153">
        <f t="shared" si="6"/>
        <v>1266.45</v>
      </c>
      <c r="S10" s="153" t="s">
        <v>1</v>
      </c>
    </row>
    <row r="11" spans="2:19">
      <c r="B11" s="136" t="s">
        <v>22</v>
      </c>
      <c r="C11" s="137">
        <v>16</v>
      </c>
      <c r="D11" s="137">
        <v>18</v>
      </c>
      <c r="E11" s="137">
        <v>18</v>
      </c>
      <c r="F11" s="137">
        <v>18</v>
      </c>
      <c r="G11" s="137">
        <v>18</v>
      </c>
      <c r="H11" s="135">
        <f t="shared" si="0"/>
        <v>88</v>
      </c>
      <c r="I11" s="135" t="s">
        <v>1</v>
      </c>
      <c r="K11" s="136" t="s">
        <v>22</v>
      </c>
      <c r="L11" s="147">
        <v>380</v>
      </c>
      <c r="M11" s="147">
        <f t="shared" si="1"/>
        <v>6080</v>
      </c>
      <c r="N11" s="147">
        <f t="shared" si="2"/>
        <v>6840</v>
      </c>
      <c r="O11" s="147">
        <f t="shared" si="3"/>
        <v>6840</v>
      </c>
      <c r="P11" s="147">
        <f t="shared" si="4"/>
        <v>6840</v>
      </c>
      <c r="Q11" s="147">
        <f t="shared" si="5"/>
        <v>6840</v>
      </c>
      <c r="R11" s="153">
        <f t="shared" si="6"/>
        <v>33440</v>
      </c>
      <c r="S11" s="153" t="s">
        <v>1</v>
      </c>
    </row>
    <row r="12" spans="2:19">
      <c r="B12" s="138" t="s">
        <v>23</v>
      </c>
      <c r="C12" s="139">
        <f t="shared" ref="C12:H12" si="7">SUM(C5:C11)</f>
        <v>28</v>
      </c>
      <c r="D12" s="139">
        <f t="shared" si="7"/>
        <v>31</v>
      </c>
      <c r="E12" s="139">
        <f t="shared" si="7"/>
        <v>31</v>
      </c>
      <c r="F12" s="139">
        <f t="shared" si="7"/>
        <v>31</v>
      </c>
      <c r="G12" s="139">
        <f t="shared" si="7"/>
        <v>30</v>
      </c>
      <c r="H12" s="140">
        <f t="shared" si="7"/>
        <v>151</v>
      </c>
      <c r="I12" s="140" t="s">
        <v>1</v>
      </c>
      <c r="K12" s="138" t="s">
        <v>23</v>
      </c>
      <c r="L12" s="148">
        <f t="shared" ref="L12:Q12" si="8">SUM(L5:L11)</f>
        <v>4395.2</v>
      </c>
      <c r="M12" s="148">
        <f t="shared" si="8"/>
        <v>12199.33</v>
      </c>
      <c r="N12" s="148">
        <f t="shared" si="8"/>
        <v>13413.49</v>
      </c>
      <c r="O12" s="148">
        <f t="shared" si="8"/>
        <v>13413.49</v>
      </c>
      <c r="P12" s="148">
        <f t="shared" si="8"/>
        <v>13413.49</v>
      </c>
      <c r="Q12" s="148">
        <f t="shared" si="8"/>
        <v>13375.2</v>
      </c>
      <c r="R12" s="154">
        <f t="shared" si="6"/>
        <v>65815</v>
      </c>
      <c r="S12" s="154" t="s">
        <v>1</v>
      </c>
    </row>
  </sheetData>
  <mergeCells count="4">
    <mergeCell ref="B3:B4"/>
    <mergeCell ref="K3:K4"/>
    <mergeCell ref="H2:I3"/>
    <mergeCell ref="R2:S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CT685"/>
  <sheetViews>
    <sheetView zoomScale="85" zoomScaleNormal="85" workbookViewId="0">
      <pane xSplit="4" ySplit="2" topLeftCell="E3" activePane="bottomRight" state="frozen"/>
      <selection pane="topRight"/>
      <selection pane="bottomLeft"/>
      <selection pane="bottomRight" activeCell="B13" sqref="B13:D13"/>
    </sheetView>
  </sheetViews>
  <sheetFormatPr defaultColWidth="8.85546875" defaultRowHeight="15"/>
  <cols>
    <col min="1" max="1" width="8.85546875" style="72"/>
    <col min="2" max="2" width="61.140625" style="76" customWidth="1"/>
    <col min="3" max="3" width="9.7109375" style="76" customWidth="1"/>
    <col min="4" max="4" width="9.42578125" style="76" customWidth="1"/>
    <col min="5" max="5" width="9.7109375" style="72" customWidth="1"/>
    <col min="6" max="6" width="5.28515625" style="72" customWidth="1"/>
    <col min="7" max="7" width="63.5703125" style="76" customWidth="1"/>
    <col min="8" max="8" width="7.85546875" style="76" customWidth="1"/>
    <col min="9" max="9" width="10.28515625" style="76" customWidth="1"/>
    <col min="10" max="10" width="6.7109375" style="76" customWidth="1"/>
    <col min="11" max="11" width="10.5703125" style="72" customWidth="1"/>
    <col min="12" max="12" width="62.28515625" style="76" customWidth="1"/>
    <col min="13" max="13" width="7.85546875" style="76" customWidth="1"/>
    <col min="14" max="14" width="10.28515625" style="76" customWidth="1"/>
    <col min="15" max="15" width="6.7109375" style="76" customWidth="1"/>
    <col min="16" max="16" width="7.28515625" style="72" customWidth="1"/>
    <col min="17" max="17" width="62.28515625" style="76" customWidth="1"/>
    <col min="18" max="18" width="7.85546875" style="76" customWidth="1"/>
    <col min="19" max="19" width="10.28515625" style="76" customWidth="1"/>
    <col min="20" max="20" width="6.7109375" style="76" customWidth="1"/>
    <col min="21" max="21" width="10.5703125" style="72" customWidth="1"/>
    <col min="22" max="22" width="46.7109375" style="76" customWidth="1"/>
    <col min="23" max="23" width="7.85546875" style="76" customWidth="1"/>
    <col min="24" max="24" width="10.28515625" style="76" customWidth="1"/>
    <col min="25" max="25" width="6.7109375" style="76" customWidth="1"/>
    <col min="26" max="26" width="6.85546875" style="72" customWidth="1"/>
    <col min="27" max="27" width="68.28515625" style="76" customWidth="1"/>
    <col min="28" max="28" width="7.85546875" style="76" customWidth="1"/>
    <col min="29" max="29" width="10.28515625" style="76" customWidth="1"/>
    <col min="30" max="30" width="7.85546875" style="76" customWidth="1"/>
    <col min="31" max="31" width="7.7109375" style="72" customWidth="1"/>
    <col min="32" max="32" width="68.28515625" style="72" customWidth="1"/>
    <col min="33" max="36" width="8.85546875" style="72"/>
    <col min="37" max="37" width="77.5703125" style="72" customWidth="1"/>
    <col min="38" max="41" width="8.85546875" style="72"/>
    <col min="42" max="42" width="77.5703125" style="72" customWidth="1"/>
    <col min="43" max="46" width="8.85546875" style="72"/>
    <col min="47" max="47" width="77.5703125" style="72" customWidth="1"/>
    <col min="48" max="51" width="8.85546875" style="72"/>
    <col min="52" max="52" width="77.5703125" style="72" customWidth="1"/>
    <col min="53" max="56" width="8.85546875" style="72"/>
    <col min="57" max="57" width="77.5703125" style="72" customWidth="1"/>
    <col min="58" max="61" width="8.85546875" style="72"/>
    <col min="62" max="62" width="77.5703125" style="72" customWidth="1"/>
    <col min="63" max="66" width="8.85546875" style="72"/>
    <col min="67" max="67" width="77.5703125" style="72" customWidth="1"/>
    <col min="68" max="71" width="8.85546875" style="72"/>
    <col min="72" max="72" width="80.7109375" style="72" customWidth="1"/>
    <col min="73" max="76" width="8.85546875" style="72"/>
    <col min="77" max="77" width="80.7109375" style="72" customWidth="1"/>
    <col min="78" max="81" width="8.85546875" style="72"/>
    <col min="82" max="82" width="60.85546875" style="72" customWidth="1"/>
    <col min="83" max="86" width="8.85546875" style="72"/>
    <col min="87" max="87" width="60.85546875" style="76" customWidth="1"/>
    <col min="88" max="16384" width="8.85546875" style="76"/>
  </cols>
  <sheetData>
    <row r="1" spans="1:30" s="72" customFormat="1"/>
    <row r="2" spans="1:30" s="72" customFormat="1"/>
    <row r="3" spans="1:30">
      <c r="B3" s="77" t="s">
        <v>24</v>
      </c>
      <c r="C3" s="78">
        <f>C69</f>
        <v>151</v>
      </c>
      <c r="D3" s="79" t="s">
        <v>25</v>
      </c>
      <c r="G3" s="72"/>
      <c r="H3" s="72"/>
      <c r="I3" s="72"/>
      <c r="J3" s="72"/>
      <c r="L3" s="72"/>
      <c r="M3" s="72"/>
      <c r="N3" s="72"/>
      <c r="O3" s="72"/>
      <c r="Q3" s="72"/>
      <c r="R3" s="72"/>
      <c r="S3" s="72"/>
      <c r="T3" s="72"/>
      <c r="V3" s="72"/>
      <c r="W3" s="72"/>
      <c r="X3" s="72"/>
      <c r="Y3" s="72"/>
      <c r="AA3" s="72"/>
      <c r="AB3" s="72"/>
      <c r="AC3" s="72"/>
      <c r="AD3" s="72"/>
    </row>
    <row r="4" spans="1:30">
      <c r="B4" s="80"/>
      <c r="C4" s="81"/>
      <c r="D4" s="82"/>
      <c r="G4" s="72"/>
      <c r="H4" s="72"/>
      <c r="I4" s="72"/>
      <c r="J4" s="72"/>
      <c r="L4" s="72"/>
      <c r="M4" s="72"/>
      <c r="N4" s="72"/>
      <c r="O4" s="72"/>
      <c r="Q4" s="72"/>
      <c r="R4" s="72"/>
      <c r="S4" s="72"/>
      <c r="T4" s="72"/>
      <c r="V4" s="72"/>
      <c r="W4" s="72"/>
      <c r="X4" s="72"/>
      <c r="Y4" s="72"/>
      <c r="AA4" s="72"/>
      <c r="AB4" s="72"/>
      <c r="AC4" s="72"/>
      <c r="AD4" s="72"/>
    </row>
    <row r="5" spans="1:30">
      <c r="B5" s="83" t="s">
        <v>26</v>
      </c>
      <c r="C5" s="84"/>
      <c r="D5" s="85"/>
      <c r="G5" s="72"/>
      <c r="H5" s="72"/>
      <c r="I5" s="72"/>
      <c r="J5" s="72"/>
      <c r="L5" s="72"/>
      <c r="M5" s="72"/>
      <c r="N5" s="72"/>
      <c r="O5" s="72"/>
      <c r="Q5" s="72"/>
      <c r="R5" s="72"/>
      <c r="S5" s="72"/>
      <c r="T5" s="72"/>
      <c r="V5" s="72"/>
      <c r="W5" s="72"/>
      <c r="X5" s="72"/>
      <c r="Y5" s="72"/>
      <c r="AA5" s="72"/>
      <c r="AB5" s="72"/>
      <c r="AC5" s="72"/>
      <c r="AD5" s="72"/>
    </row>
    <row r="6" spans="1:30">
      <c r="B6" s="86" t="s">
        <v>27</v>
      </c>
      <c r="C6" s="87">
        <f>C7</f>
        <v>151</v>
      </c>
      <c r="D6" s="88" t="s">
        <v>1</v>
      </c>
      <c r="G6" s="72"/>
      <c r="H6" s="72"/>
      <c r="I6" s="72"/>
      <c r="J6" s="72"/>
      <c r="L6" s="72"/>
      <c r="M6" s="72"/>
      <c r="N6" s="72"/>
      <c r="O6" s="72"/>
      <c r="Q6" s="72"/>
      <c r="R6" s="72"/>
      <c r="S6" s="72"/>
      <c r="T6" s="72"/>
      <c r="V6" s="72"/>
      <c r="W6" s="72"/>
      <c r="X6" s="72"/>
      <c r="Y6" s="72"/>
      <c r="AA6" s="72"/>
      <c r="AB6" s="72"/>
      <c r="AC6" s="72"/>
      <c r="AD6" s="72"/>
    </row>
    <row r="7" spans="1:30">
      <c r="A7" s="72">
        <v>1</v>
      </c>
      <c r="B7" s="89" t="s">
        <v>28</v>
      </c>
      <c r="C7" s="90">
        <f>C71</f>
        <v>151</v>
      </c>
      <c r="D7" s="91" t="s">
        <v>1</v>
      </c>
      <c r="G7" s="72"/>
      <c r="H7" s="72"/>
      <c r="I7" s="72"/>
      <c r="J7" s="72"/>
      <c r="L7" s="72"/>
      <c r="M7" s="72"/>
      <c r="N7" s="72"/>
      <c r="O7" s="72"/>
      <c r="Q7" s="72"/>
      <c r="R7" s="72"/>
      <c r="S7" s="72"/>
      <c r="T7" s="72"/>
      <c r="V7" s="72"/>
      <c r="W7" s="72"/>
      <c r="X7" s="72"/>
      <c r="Y7" s="72"/>
      <c r="AA7" s="72"/>
      <c r="AB7" s="72"/>
      <c r="AC7" s="72"/>
      <c r="AD7" s="72"/>
    </row>
    <row r="8" spans="1:30">
      <c r="B8" s="89"/>
      <c r="C8" s="90"/>
      <c r="D8" s="91"/>
      <c r="G8" s="72"/>
      <c r="H8" s="72"/>
      <c r="I8" s="72"/>
      <c r="J8" s="72"/>
      <c r="L8" s="72"/>
      <c r="M8" s="72"/>
      <c r="N8" s="72"/>
      <c r="O8" s="72"/>
      <c r="Q8" s="72"/>
      <c r="R8" s="72"/>
      <c r="S8" s="72"/>
      <c r="T8" s="72"/>
      <c r="V8" s="72"/>
      <c r="W8" s="72"/>
      <c r="X8" s="72"/>
      <c r="Y8" s="72"/>
      <c r="AA8" s="72"/>
      <c r="AB8" s="72"/>
      <c r="AC8" s="72"/>
      <c r="AD8" s="72"/>
    </row>
    <row r="9" spans="1:30">
      <c r="B9" s="83" t="s">
        <v>29</v>
      </c>
      <c r="C9" s="84"/>
      <c r="D9" s="85"/>
      <c r="G9" s="72"/>
      <c r="H9" s="72"/>
      <c r="I9" s="72"/>
      <c r="J9" s="72"/>
      <c r="L9" s="72"/>
      <c r="M9" s="72"/>
      <c r="N9" s="72"/>
      <c r="O9" s="72"/>
      <c r="Q9" s="72"/>
      <c r="R9" s="72"/>
      <c r="S9" s="72"/>
      <c r="T9" s="72"/>
      <c r="V9" s="72"/>
      <c r="W9" s="72"/>
      <c r="X9" s="72"/>
      <c r="Y9" s="72"/>
      <c r="AA9" s="72"/>
      <c r="AB9" s="72"/>
      <c r="AC9" s="72"/>
      <c r="AD9" s="72"/>
    </row>
    <row r="10" spans="1:30">
      <c r="B10" s="86" t="s">
        <v>30</v>
      </c>
      <c r="C10" s="87">
        <f>C12+C14+C16+C18+C20</f>
        <v>529</v>
      </c>
      <c r="D10" s="88" t="s">
        <v>1</v>
      </c>
      <c r="G10" s="72"/>
      <c r="H10" s="72"/>
      <c r="I10" s="72"/>
      <c r="J10" s="72"/>
      <c r="L10" s="72"/>
      <c r="M10" s="72"/>
      <c r="N10" s="72"/>
      <c r="O10" s="72"/>
      <c r="Q10" s="72"/>
      <c r="R10" s="72"/>
      <c r="S10" s="72"/>
      <c r="T10" s="72"/>
      <c r="V10" s="72"/>
      <c r="W10" s="72"/>
      <c r="X10" s="72"/>
      <c r="Y10" s="72"/>
      <c r="AA10" s="72"/>
      <c r="AB10" s="72"/>
      <c r="AC10" s="72"/>
      <c r="AD10" s="72"/>
    </row>
    <row r="11" spans="1:30">
      <c r="B11" s="89"/>
      <c r="C11" s="90"/>
      <c r="D11" s="91"/>
      <c r="G11" s="72"/>
      <c r="H11" s="72"/>
      <c r="I11" s="72"/>
      <c r="J11" s="72"/>
      <c r="L11" s="72"/>
      <c r="M11" s="72"/>
      <c r="N11" s="72"/>
      <c r="O11" s="72"/>
      <c r="Q11" s="72"/>
      <c r="R11" s="72"/>
      <c r="S11" s="72"/>
      <c r="T11" s="72"/>
      <c r="V11" s="72"/>
      <c r="W11" s="72"/>
      <c r="X11" s="72"/>
      <c r="Y11" s="72"/>
      <c r="AA11" s="72"/>
      <c r="AB11" s="72"/>
      <c r="AC11" s="72"/>
      <c r="AD11" s="72"/>
    </row>
    <row r="12" spans="1:30">
      <c r="A12" s="72">
        <v>2</v>
      </c>
      <c r="B12" s="89" t="s">
        <v>31</v>
      </c>
      <c r="C12" s="90">
        <f>C72</f>
        <v>1</v>
      </c>
      <c r="D12" s="91" t="s">
        <v>1</v>
      </c>
      <c r="G12" s="72"/>
      <c r="H12" s="72"/>
      <c r="I12" s="72"/>
      <c r="J12" s="72"/>
      <c r="L12" s="72"/>
      <c r="M12" s="72"/>
      <c r="N12" s="72"/>
      <c r="O12" s="72"/>
      <c r="Q12" s="72"/>
      <c r="R12" s="72"/>
      <c r="S12" s="72"/>
      <c r="T12" s="72"/>
      <c r="V12" s="72"/>
      <c r="W12" s="72"/>
      <c r="X12" s="72"/>
      <c r="Y12" s="72"/>
      <c r="AA12" s="72"/>
      <c r="AB12" s="72"/>
      <c r="AC12" s="72"/>
      <c r="AD12" s="72"/>
    </row>
    <row r="13" spans="1:30">
      <c r="B13" s="92"/>
      <c r="C13" s="93"/>
      <c r="D13" s="94"/>
      <c r="G13" s="72"/>
      <c r="H13" s="72"/>
      <c r="I13" s="72"/>
      <c r="J13" s="72"/>
      <c r="L13" s="72"/>
      <c r="M13" s="72"/>
      <c r="N13" s="72"/>
      <c r="O13" s="72"/>
      <c r="Q13" s="72"/>
      <c r="R13" s="72"/>
      <c r="S13" s="72"/>
      <c r="T13" s="72"/>
      <c r="V13" s="72"/>
      <c r="W13" s="72"/>
      <c r="X13" s="72"/>
      <c r="Y13" s="72"/>
      <c r="AA13" s="72"/>
      <c r="AB13" s="72"/>
      <c r="AC13" s="72"/>
      <c r="AD13" s="72"/>
    </row>
    <row r="14" spans="1:30">
      <c r="A14" s="72">
        <v>3</v>
      </c>
      <c r="B14" s="89" t="s">
        <v>32</v>
      </c>
      <c r="C14" s="90">
        <f>C73</f>
        <v>211</v>
      </c>
      <c r="D14" s="91" t="s">
        <v>1</v>
      </c>
      <c r="G14" s="72"/>
      <c r="H14" s="72"/>
      <c r="I14" s="72"/>
      <c r="J14" s="72"/>
      <c r="L14" s="72"/>
      <c r="M14" s="72"/>
      <c r="N14" s="72"/>
      <c r="O14" s="72"/>
      <c r="Q14" s="72"/>
      <c r="R14" s="72"/>
      <c r="S14" s="72"/>
      <c r="T14" s="72"/>
      <c r="V14" s="72"/>
      <c r="W14" s="72"/>
      <c r="X14" s="72"/>
      <c r="Y14" s="72"/>
      <c r="AA14" s="72"/>
      <c r="AB14" s="72"/>
      <c r="AC14" s="72"/>
      <c r="AD14" s="72"/>
    </row>
    <row r="15" spans="1:30">
      <c r="B15" s="92"/>
      <c r="C15" s="93"/>
      <c r="D15" s="94"/>
      <c r="G15" s="72"/>
      <c r="H15" s="72"/>
      <c r="I15" s="72"/>
      <c r="J15" s="72"/>
      <c r="L15" s="72"/>
      <c r="M15" s="72"/>
      <c r="N15" s="72"/>
      <c r="O15" s="72"/>
      <c r="Q15" s="72"/>
      <c r="R15" s="72"/>
      <c r="S15" s="72"/>
      <c r="T15" s="72"/>
      <c r="V15" s="72"/>
      <c r="W15" s="72"/>
      <c r="X15" s="72"/>
      <c r="Y15" s="72"/>
      <c r="AA15" s="72"/>
      <c r="AB15" s="72"/>
      <c r="AC15" s="72"/>
      <c r="AD15" s="72"/>
    </row>
    <row r="16" spans="1:30">
      <c r="A16" s="72">
        <v>4</v>
      </c>
      <c r="B16" s="89" t="s">
        <v>33</v>
      </c>
      <c r="C16" s="90">
        <f>C74</f>
        <v>15</v>
      </c>
      <c r="D16" s="91" t="s">
        <v>1</v>
      </c>
      <c r="G16" s="72"/>
      <c r="H16" s="72"/>
      <c r="I16" s="72"/>
      <c r="J16" s="72"/>
      <c r="L16" s="72"/>
      <c r="M16" s="72"/>
      <c r="N16" s="72"/>
      <c r="O16" s="72"/>
      <c r="Q16" s="72"/>
      <c r="R16" s="72"/>
      <c r="S16" s="72"/>
      <c r="T16" s="72"/>
      <c r="V16" s="72"/>
      <c r="W16" s="72"/>
      <c r="X16" s="72"/>
      <c r="Y16" s="72"/>
      <c r="AA16" s="72"/>
      <c r="AB16" s="72"/>
      <c r="AC16" s="72"/>
      <c r="AD16" s="72"/>
    </row>
    <row r="17" spans="1:30">
      <c r="B17" s="92"/>
      <c r="C17" s="93"/>
      <c r="D17" s="94"/>
      <c r="G17" s="72"/>
      <c r="H17" s="72"/>
      <c r="I17" s="72"/>
      <c r="J17" s="72"/>
      <c r="L17" s="72"/>
      <c r="M17" s="72"/>
      <c r="N17" s="72"/>
      <c r="O17" s="72"/>
      <c r="Q17" s="72"/>
      <c r="R17" s="72"/>
      <c r="S17" s="72"/>
      <c r="T17" s="72"/>
      <c r="V17" s="72"/>
      <c r="W17" s="72"/>
      <c r="X17" s="72"/>
      <c r="Y17" s="72"/>
      <c r="AA17" s="72"/>
      <c r="AB17" s="72"/>
      <c r="AC17" s="72"/>
      <c r="AD17" s="72"/>
    </row>
    <row r="18" spans="1:30">
      <c r="A18" s="72">
        <v>5</v>
      </c>
      <c r="B18" s="89" t="s">
        <v>34</v>
      </c>
      <c r="C18" s="90">
        <f>C75</f>
        <v>150</v>
      </c>
      <c r="D18" s="91" t="s">
        <v>1</v>
      </c>
      <c r="G18" s="72"/>
      <c r="H18" s="72"/>
      <c r="I18" s="72"/>
      <c r="J18" s="72"/>
      <c r="L18" s="72"/>
      <c r="M18" s="72"/>
      <c r="N18" s="72"/>
      <c r="O18" s="72"/>
      <c r="Q18" s="72"/>
      <c r="R18" s="72"/>
      <c r="S18" s="72"/>
      <c r="T18" s="72"/>
      <c r="V18" s="72"/>
      <c r="W18" s="72"/>
      <c r="X18" s="72"/>
      <c r="Y18" s="72"/>
      <c r="AA18" s="72"/>
      <c r="AB18" s="72"/>
      <c r="AC18" s="72"/>
      <c r="AD18" s="72"/>
    </row>
    <row r="19" spans="1:30">
      <c r="B19" s="92"/>
      <c r="C19" s="93"/>
      <c r="D19" s="94"/>
      <c r="G19" s="72"/>
      <c r="H19" s="72"/>
      <c r="I19" s="72"/>
      <c r="J19" s="72"/>
      <c r="L19" s="72"/>
      <c r="M19" s="72"/>
      <c r="N19" s="72"/>
      <c r="O19" s="72"/>
      <c r="Q19" s="72"/>
      <c r="R19" s="72"/>
      <c r="S19" s="72"/>
      <c r="T19" s="72"/>
      <c r="V19" s="72"/>
      <c r="W19" s="72"/>
      <c r="X19" s="72"/>
      <c r="Y19" s="72"/>
      <c r="AA19" s="72"/>
      <c r="AB19" s="72"/>
      <c r="AC19" s="72"/>
      <c r="AD19" s="72"/>
    </row>
    <row r="20" spans="1:30">
      <c r="A20" s="72">
        <v>6</v>
      </c>
      <c r="B20" s="89" t="s">
        <v>35</v>
      </c>
      <c r="C20" s="90">
        <f>C76</f>
        <v>152</v>
      </c>
      <c r="D20" s="91" t="s">
        <v>1</v>
      </c>
      <c r="G20" s="72"/>
      <c r="H20" s="72"/>
      <c r="I20" s="72"/>
      <c r="J20" s="72"/>
      <c r="L20" s="72"/>
      <c r="M20" s="72"/>
      <c r="N20" s="72"/>
      <c r="O20" s="72"/>
      <c r="Q20" s="72"/>
      <c r="R20" s="72"/>
      <c r="S20" s="72"/>
      <c r="T20" s="72"/>
      <c r="V20" s="72"/>
      <c r="W20" s="72"/>
      <c r="X20" s="72"/>
      <c r="Y20" s="72"/>
      <c r="AA20" s="72"/>
      <c r="AB20" s="72"/>
      <c r="AC20" s="72"/>
      <c r="AD20" s="72"/>
    </row>
    <row r="21" spans="1:30">
      <c r="B21" s="89"/>
      <c r="C21" s="90"/>
      <c r="D21" s="91"/>
      <c r="G21" s="72"/>
      <c r="H21" s="72"/>
      <c r="I21" s="72"/>
      <c r="J21" s="72"/>
      <c r="L21" s="72"/>
      <c r="M21" s="72"/>
      <c r="N21" s="72"/>
      <c r="O21" s="72"/>
      <c r="Q21" s="72"/>
      <c r="R21" s="72"/>
      <c r="S21" s="72"/>
      <c r="T21" s="72"/>
      <c r="V21" s="72"/>
      <c r="W21" s="72"/>
      <c r="X21" s="72"/>
      <c r="Y21" s="72"/>
      <c r="AA21" s="72"/>
      <c r="AB21" s="72"/>
      <c r="AC21" s="72"/>
      <c r="AD21" s="72"/>
    </row>
    <row r="22" spans="1:30">
      <c r="B22" s="83" t="s">
        <v>36</v>
      </c>
      <c r="C22" s="84"/>
      <c r="D22" s="85"/>
      <c r="G22" s="72"/>
      <c r="H22" s="72"/>
      <c r="I22" s="72"/>
      <c r="J22" s="72"/>
      <c r="L22" s="72"/>
      <c r="M22" s="72"/>
      <c r="N22" s="72"/>
      <c r="O22" s="72"/>
      <c r="Q22" s="72"/>
      <c r="R22" s="72"/>
      <c r="S22" s="72"/>
      <c r="T22" s="72"/>
      <c r="V22" s="72"/>
      <c r="W22" s="72"/>
      <c r="X22" s="72"/>
      <c r="Y22" s="72"/>
      <c r="AA22" s="72"/>
      <c r="AB22" s="72"/>
      <c r="AC22" s="72"/>
      <c r="AD22" s="72"/>
    </row>
    <row r="23" spans="1:30">
      <c r="B23" s="86" t="s">
        <v>37</v>
      </c>
      <c r="C23" s="87">
        <f>C25</f>
        <v>56372</v>
      </c>
      <c r="D23" s="88" t="s">
        <v>38</v>
      </c>
      <c r="G23" s="72"/>
      <c r="H23" s="72"/>
      <c r="I23" s="72"/>
      <c r="J23" s="72"/>
      <c r="L23" s="72"/>
      <c r="M23" s="72"/>
      <c r="N23" s="72"/>
      <c r="O23" s="72"/>
      <c r="Q23" s="72"/>
      <c r="R23" s="72"/>
      <c r="S23" s="72"/>
      <c r="T23" s="72"/>
      <c r="V23" s="72"/>
      <c r="W23" s="72"/>
      <c r="X23" s="72"/>
      <c r="Y23" s="72"/>
      <c r="AA23" s="72"/>
      <c r="AB23" s="72"/>
      <c r="AC23" s="72"/>
      <c r="AD23" s="72"/>
    </row>
    <row r="24" spans="1:30">
      <c r="B24" s="89"/>
      <c r="C24" s="90"/>
      <c r="D24" s="91"/>
      <c r="G24" s="72"/>
      <c r="H24" s="72"/>
      <c r="I24" s="72"/>
      <c r="J24" s="72"/>
      <c r="L24" s="72"/>
      <c r="M24" s="72"/>
      <c r="N24" s="72"/>
      <c r="O24" s="72"/>
      <c r="Q24" s="72"/>
      <c r="R24" s="72"/>
      <c r="S24" s="72"/>
      <c r="T24" s="72"/>
      <c r="V24" s="72"/>
      <c r="W24" s="72"/>
      <c r="X24" s="72"/>
      <c r="Y24" s="72"/>
      <c r="AA24" s="72"/>
      <c r="AB24" s="72"/>
      <c r="AC24" s="72"/>
      <c r="AD24" s="72"/>
    </row>
    <row r="25" spans="1:30">
      <c r="A25" s="72">
        <v>7</v>
      </c>
      <c r="B25" s="89" t="s">
        <v>39</v>
      </c>
      <c r="C25" s="90">
        <f>C77</f>
        <v>56372</v>
      </c>
      <c r="D25" s="91" t="s">
        <v>38</v>
      </c>
      <c r="G25" s="72"/>
      <c r="H25" s="72"/>
      <c r="I25" s="72"/>
      <c r="J25" s="72"/>
      <c r="L25" s="72"/>
      <c r="M25" s="72"/>
      <c r="N25" s="72"/>
      <c r="O25" s="72"/>
      <c r="Q25" s="72"/>
      <c r="R25" s="72"/>
      <c r="S25" s="72"/>
      <c r="T25" s="72"/>
      <c r="V25" s="72"/>
      <c r="W25" s="72"/>
      <c r="X25" s="72"/>
      <c r="Y25" s="72"/>
      <c r="AA25" s="72"/>
      <c r="AB25" s="72"/>
      <c r="AC25" s="72"/>
      <c r="AD25" s="72"/>
    </row>
    <row r="26" spans="1:30">
      <c r="B26" s="89"/>
      <c r="C26" s="90"/>
      <c r="D26" s="91"/>
      <c r="G26" s="72"/>
      <c r="H26" s="72"/>
      <c r="I26" s="72"/>
      <c r="J26" s="72"/>
      <c r="L26" s="72"/>
      <c r="M26" s="72"/>
      <c r="N26" s="72"/>
      <c r="O26" s="72"/>
      <c r="Q26" s="72"/>
      <c r="R26" s="72"/>
      <c r="S26" s="72"/>
      <c r="T26" s="72"/>
      <c r="V26" s="72"/>
      <c r="W26" s="72"/>
      <c r="X26" s="72"/>
      <c r="Y26" s="72"/>
      <c r="AA26" s="72"/>
      <c r="AB26" s="72"/>
      <c r="AC26" s="72"/>
      <c r="AD26" s="72"/>
    </row>
    <row r="27" spans="1:30">
      <c r="B27" s="86" t="s">
        <v>40</v>
      </c>
      <c r="C27" s="87">
        <f>C29+C31+C33+C35+C37</f>
        <v>59724</v>
      </c>
      <c r="D27" s="88" t="s">
        <v>38</v>
      </c>
      <c r="G27" s="72"/>
      <c r="H27" s="72"/>
      <c r="I27" s="72"/>
      <c r="J27" s="72"/>
      <c r="L27" s="72"/>
      <c r="M27" s="72"/>
      <c r="N27" s="72"/>
      <c r="O27" s="72"/>
      <c r="Q27" s="72"/>
      <c r="R27" s="72"/>
      <c r="S27" s="72"/>
      <c r="T27" s="72"/>
      <c r="V27" s="72"/>
      <c r="W27" s="72"/>
      <c r="X27" s="72"/>
      <c r="Y27" s="72"/>
      <c r="AA27" s="72"/>
      <c r="AB27" s="72"/>
      <c r="AC27" s="72"/>
      <c r="AD27" s="72"/>
    </row>
    <row r="28" spans="1:30">
      <c r="B28" s="89"/>
      <c r="C28" s="90"/>
      <c r="D28" s="91"/>
      <c r="G28" s="72"/>
      <c r="H28" s="72"/>
      <c r="I28" s="72"/>
      <c r="J28" s="72"/>
      <c r="L28" s="72"/>
      <c r="M28" s="72"/>
      <c r="N28" s="72"/>
      <c r="O28" s="72"/>
      <c r="Q28" s="72"/>
      <c r="R28" s="72"/>
      <c r="S28" s="72"/>
      <c r="T28" s="72"/>
      <c r="V28" s="72"/>
      <c r="W28" s="72"/>
      <c r="X28" s="72"/>
      <c r="Y28" s="72"/>
      <c r="AA28" s="72"/>
      <c r="AB28" s="72"/>
      <c r="AC28" s="72"/>
      <c r="AD28" s="72"/>
    </row>
    <row r="29" spans="1:30">
      <c r="A29" s="72">
        <v>8</v>
      </c>
      <c r="B29" s="89" t="s">
        <v>41</v>
      </c>
      <c r="C29" s="90">
        <f>C78</f>
        <v>17928</v>
      </c>
      <c r="D29" s="91" t="s">
        <v>38</v>
      </c>
      <c r="G29" s="72"/>
      <c r="H29" s="72"/>
      <c r="I29" s="72"/>
      <c r="J29" s="72"/>
      <c r="L29" s="72"/>
      <c r="M29" s="72"/>
      <c r="N29" s="72"/>
      <c r="O29" s="72"/>
      <c r="Q29" s="72"/>
      <c r="R29" s="72"/>
      <c r="S29" s="72"/>
      <c r="T29" s="72"/>
      <c r="V29" s="72"/>
      <c r="W29" s="72"/>
      <c r="X29" s="72"/>
      <c r="Y29" s="72"/>
      <c r="AA29" s="72"/>
      <c r="AB29" s="72"/>
      <c r="AC29" s="72"/>
      <c r="AD29" s="72"/>
    </row>
    <row r="30" spans="1:30">
      <c r="B30" s="92"/>
      <c r="C30" s="93"/>
      <c r="D30" s="94"/>
      <c r="G30" s="72"/>
      <c r="H30" s="72"/>
      <c r="I30" s="72"/>
      <c r="J30" s="72"/>
      <c r="L30" s="72"/>
      <c r="M30" s="72"/>
      <c r="N30" s="72"/>
      <c r="O30" s="72"/>
      <c r="Q30" s="72"/>
      <c r="R30" s="72"/>
      <c r="S30" s="72"/>
      <c r="T30" s="72"/>
      <c r="V30" s="72"/>
      <c r="W30" s="72"/>
      <c r="X30" s="72"/>
      <c r="Y30" s="72"/>
      <c r="AA30" s="72"/>
      <c r="AB30" s="72"/>
      <c r="AC30" s="72"/>
      <c r="AD30" s="72"/>
    </row>
    <row r="31" spans="1:30">
      <c r="A31" s="72">
        <v>9</v>
      </c>
      <c r="B31" s="89" t="s">
        <v>42</v>
      </c>
      <c r="C31" s="90">
        <f>C79</f>
        <v>34518</v>
      </c>
      <c r="D31" s="91" t="s">
        <v>38</v>
      </c>
      <c r="G31" s="72"/>
      <c r="H31" s="72"/>
      <c r="I31" s="72"/>
      <c r="J31" s="72"/>
      <c r="L31" s="72"/>
      <c r="M31" s="72"/>
      <c r="N31" s="72"/>
      <c r="O31" s="72"/>
      <c r="Q31" s="72"/>
      <c r="R31" s="72"/>
      <c r="S31" s="72"/>
      <c r="T31" s="72"/>
      <c r="V31" s="72"/>
      <c r="W31" s="72"/>
      <c r="X31" s="72"/>
      <c r="Y31" s="72"/>
      <c r="AA31" s="72"/>
      <c r="AB31" s="72"/>
      <c r="AC31" s="72"/>
      <c r="AD31" s="72"/>
    </row>
    <row r="32" spans="1:30">
      <c r="B32" s="92"/>
      <c r="C32" s="93"/>
      <c r="D32" s="94"/>
      <c r="G32" s="72"/>
      <c r="H32" s="72"/>
      <c r="I32" s="72"/>
      <c r="J32" s="72"/>
      <c r="L32" s="72"/>
      <c r="M32" s="72"/>
      <c r="N32" s="72"/>
      <c r="O32" s="72"/>
      <c r="Q32" s="72"/>
      <c r="R32" s="72"/>
      <c r="S32" s="72"/>
      <c r="T32" s="72"/>
      <c r="V32" s="72"/>
      <c r="W32" s="72"/>
      <c r="X32" s="72"/>
      <c r="Y32" s="72"/>
      <c r="AA32" s="72"/>
      <c r="AB32" s="72"/>
      <c r="AC32" s="72"/>
      <c r="AD32" s="72"/>
    </row>
    <row r="33" spans="1:86">
      <c r="A33" s="72">
        <v>10</v>
      </c>
      <c r="B33" s="89" t="s">
        <v>43</v>
      </c>
      <c r="C33" s="90">
        <f>C80</f>
        <v>1265</v>
      </c>
      <c r="D33" s="91" t="s">
        <v>38</v>
      </c>
      <c r="G33" s="72"/>
      <c r="H33" s="72"/>
      <c r="I33" s="72"/>
      <c r="J33" s="72"/>
      <c r="L33" s="72"/>
      <c r="M33" s="72"/>
      <c r="N33" s="72"/>
      <c r="O33" s="72"/>
      <c r="Q33" s="72"/>
      <c r="R33" s="72"/>
      <c r="S33" s="72"/>
      <c r="T33" s="72"/>
      <c r="V33" s="72"/>
      <c r="W33" s="72"/>
      <c r="X33" s="72"/>
      <c r="Y33" s="72"/>
      <c r="AA33" s="72"/>
      <c r="AB33" s="72"/>
      <c r="AC33" s="72"/>
      <c r="AD33" s="72"/>
    </row>
    <row r="34" spans="1:86">
      <c r="B34" s="92"/>
      <c r="C34" s="93"/>
      <c r="D34" s="94"/>
      <c r="G34" s="72"/>
      <c r="H34" s="72"/>
      <c r="I34" s="72"/>
      <c r="J34" s="72"/>
      <c r="L34" s="72"/>
      <c r="M34" s="72"/>
      <c r="N34" s="72"/>
      <c r="O34" s="72"/>
      <c r="Q34" s="72"/>
      <c r="R34" s="72"/>
      <c r="S34" s="72"/>
      <c r="T34" s="72"/>
      <c r="V34" s="72"/>
      <c r="W34" s="72"/>
      <c r="X34" s="72"/>
      <c r="Y34" s="72"/>
      <c r="AA34" s="72"/>
      <c r="AB34" s="72"/>
      <c r="AC34" s="72"/>
      <c r="AD34" s="72"/>
    </row>
    <row r="35" spans="1:86">
      <c r="A35" s="72">
        <v>11</v>
      </c>
      <c r="B35" s="89" t="s">
        <v>44</v>
      </c>
      <c r="C35" s="90">
        <f>C81</f>
        <v>4291</v>
      </c>
      <c r="D35" s="91" t="s">
        <v>38</v>
      </c>
      <c r="G35" s="72"/>
      <c r="H35" s="72"/>
      <c r="I35" s="72"/>
      <c r="J35" s="72"/>
      <c r="L35" s="72"/>
      <c r="M35" s="72"/>
      <c r="N35" s="72"/>
      <c r="O35" s="72"/>
      <c r="Q35" s="72"/>
      <c r="R35" s="72"/>
      <c r="S35" s="72"/>
      <c r="T35" s="72"/>
      <c r="V35" s="72"/>
      <c r="W35" s="72"/>
      <c r="X35" s="72"/>
      <c r="Y35" s="72"/>
      <c r="AA35" s="72"/>
      <c r="AB35" s="72"/>
      <c r="AC35" s="72"/>
      <c r="AD35" s="72"/>
    </row>
    <row r="36" spans="1:86">
      <c r="B36" s="92"/>
      <c r="C36" s="93"/>
      <c r="D36" s="94"/>
      <c r="G36" s="72"/>
      <c r="H36" s="72"/>
      <c r="I36" s="72"/>
      <c r="J36" s="72"/>
      <c r="L36" s="72"/>
      <c r="M36" s="72"/>
      <c r="N36" s="72"/>
      <c r="O36" s="72"/>
      <c r="Q36" s="72"/>
      <c r="R36" s="72"/>
      <c r="S36" s="72"/>
      <c r="T36" s="72"/>
      <c r="V36" s="72"/>
      <c r="W36" s="72"/>
      <c r="X36" s="72"/>
      <c r="Y36" s="72"/>
      <c r="AA36" s="72"/>
      <c r="AB36" s="72"/>
      <c r="AC36" s="72"/>
      <c r="AD36" s="72"/>
    </row>
    <row r="37" spans="1:86">
      <c r="A37" s="72">
        <v>12</v>
      </c>
      <c r="B37" s="89" t="s">
        <v>45</v>
      </c>
      <c r="C37" s="90">
        <f>C82</f>
        <v>1722</v>
      </c>
      <c r="D37" s="91" t="s">
        <v>38</v>
      </c>
      <c r="G37" s="72"/>
      <c r="H37" s="72"/>
      <c r="I37" s="72"/>
      <c r="J37" s="72"/>
      <c r="L37" s="72"/>
      <c r="M37" s="72"/>
      <c r="N37" s="72"/>
      <c r="O37" s="72"/>
      <c r="Q37" s="72"/>
      <c r="R37" s="72"/>
      <c r="S37" s="72"/>
      <c r="T37" s="72"/>
      <c r="V37" s="72"/>
      <c r="W37" s="72"/>
      <c r="X37" s="72"/>
      <c r="Y37" s="72"/>
      <c r="AA37" s="72"/>
      <c r="AB37" s="72"/>
      <c r="AC37" s="72"/>
      <c r="AD37" s="72"/>
    </row>
    <row r="38" spans="1:86" s="73" customFormat="1">
      <c r="A38" s="72"/>
      <c r="B38" s="89"/>
      <c r="C38" s="90"/>
      <c r="D38" s="91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</row>
    <row r="39" spans="1:86" s="73" customFormat="1">
      <c r="A39" s="72"/>
      <c r="B39" s="86" t="s">
        <v>46</v>
      </c>
      <c r="C39" s="87">
        <f>C41</f>
        <v>17286</v>
      </c>
      <c r="D39" s="88" t="s">
        <v>47</v>
      </c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</row>
    <row r="40" spans="1:86" s="73" customFormat="1">
      <c r="A40" s="72"/>
      <c r="B40" s="89"/>
      <c r="C40" s="90"/>
      <c r="D40" s="91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</row>
    <row r="41" spans="1:86" s="72" customFormat="1">
      <c r="A41" s="72">
        <v>13</v>
      </c>
      <c r="B41" s="89" t="s">
        <v>48</v>
      </c>
      <c r="C41" s="90">
        <f>C83</f>
        <v>17286</v>
      </c>
      <c r="D41" s="91" t="s">
        <v>47</v>
      </c>
    </row>
    <row r="42" spans="1:86" s="72" customFormat="1">
      <c r="B42" s="89"/>
      <c r="C42" s="90"/>
      <c r="D42" s="91"/>
    </row>
    <row r="43" spans="1:86" s="72" customFormat="1">
      <c r="B43" s="86" t="s">
        <v>49</v>
      </c>
      <c r="C43" s="87">
        <f>9*C45</f>
        <v>12438</v>
      </c>
      <c r="D43" s="88" t="s">
        <v>38</v>
      </c>
    </row>
    <row r="44" spans="1:86" s="72" customFormat="1">
      <c r="B44" s="89"/>
      <c r="C44" s="90"/>
      <c r="D44" s="91"/>
    </row>
    <row r="45" spans="1:86" s="72" customFormat="1">
      <c r="A45" s="72">
        <v>14</v>
      </c>
      <c r="B45" s="89" t="s">
        <v>50</v>
      </c>
      <c r="C45" s="90">
        <f>C84</f>
        <v>1382</v>
      </c>
      <c r="D45" s="91" t="s">
        <v>47</v>
      </c>
    </row>
    <row r="46" spans="1:86" s="72" customFormat="1">
      <c r="B46" s="89"/>
      <c r="C46" s="90"/>
      <c r="D46" s="91"/>
    </row>
    <row r="47" spans="1:86" s="72" customFormat="1">
      <c r="B47" s="83" t="s">
        <v>51</v>
      </c>
      <c r="C47" s="84"/>
      <c r="D47" s="85"/>
    </row>
    <row r="48" spans="1:86" s="72" customFormat="1">
      <c r="B48" s="86" t="s">
        <v>52</v>
      </c>
      <c r="C48" s="87">
        <f>C50+C52+C54+C56</f>
        <v>604</v>
      </c>
      <c r="D48" s="88" t="s">
        <v>1</v>
      </c>
    </row>
    <row r="49" spans="1:4" s="72" customFormat="1">
      <c r="B49" s="89"/>
      <c r="C49" s="90"/>
      <c r="D49" s="91"/>
    </row>
    <row r="50" spans="1:4" s="72" customFormat="1">
      <c r="A50" s="72">
        <v>15</v>
      </c>
      <c r="B50" s="89" t="s">
        <v>53</v>
      </c>
      <c r="C50" s="90">
        <f>C85</f>
        <v>151</v>
      </c>
      <c r="D50" s="91" t="s">
        <v>1</v>
      </c>
    </row>
    <row r="51" spans="1:4" s="72" customFormat="1">
      <c r="B51" s="92"/>
      <c r="C51" s="93"/>
      <c r="D51" s="94"/>
    </row>
    <row r="52" spans="1:4" s="72" customFormat="1">
      <c r="A52" s="72">
        <v>16</v>
      </c>
      <c r="B52" s="89" t="s">
        <v>54</v>
      </c>
      <c r="C52" s="90">
        <f>C86</f>
        <v>151</v>
      </c>
      <c r="D52" s="91" t="s">
        <v>1</v>
      </c>
    </row>
    <row r="53" spans="1:4" s="72" customFormat="1">
      <c r="B53" s="92"/>
      <c r="C53" s="93"/>
      <c r="D53" s="94"/>
    </row>
    <row r="54" spans="1:4" s="72" customFormat="1">
      <c r="A54" s="72">
        <v>17</v>
      </c>
      <c r="B54" s="89" t="s">
        <v>55</v>
      </c>
      <c r="C54" s="90">
        <f>C87</f>
        <v>151</v>
      </c>
      <c r="D54" s="91" t="s">
        <v>1</v>
      </c>
    </row>
    <row r="55" spans="1:4" s="72" customFormat="1">
      <c r="B55" s="92"/>
      <c r="C55" s="93"/>
      <c r="D55" s="94"/>
    </row>
    <row r="56" spans="1:4" s="72" customFormat="1">
      <c r="A56" s="72">
        <v>18</v>
      </c>
      <c r="B56" s="89" t="s">
        <v>56</v>
      </c>
      <c r="C56" s="90">
        <f>C88</f>
        <v>151</v>
      </c>
      <c r="D56" s="91" t="s">
        <v>1</v>
      </c>
    </row>
    <row r="57" spans="1:4" s="72" customFormat="1">
      <c r="B57" s="89"/>
      <c r="C57" s="90"/>
      <c r="D57" s="91"/>
    </row>
    <row r="58" spans="1:4" s="72" customFormat="1">
      <c r="B58" s="83" t="s">
        <v>57</v>
      </c>
      <c r="C58" s="84"/>
      <c r="D58" s="85"/>
    </row>
    <row r="59" spans="1:4" s="72" customFormat="1">
      <c r="B59" s="86" t="s">
        <v>58</v>
      </c>
      <c r="C59" s="87">
        <f>C61</f>
        <v>151</v>
      </c>
      <c r="D59" s="88" t="s">
        <v>1</v>
      </c>
    </row>
    <row r="60" spans="1:4" s="72" customFormat="1">
      <c r="B60" s="89"/>
      <c r="C60" s="90"/>
      <c r="D60" s="91"/>
    </row>
    <row r="61" spans="1:4" s="72" customFormat="1">
      <c r="A61" s="72">
        <v>19</v>
      </c>
      <c r="B61" s="89" t="s">
        <v>59</v>
      </c>
      <c r="C61" s="90">
        <f>C89</f>
        <v>151</v>
      </c>
      <c r="D61" s="91" t="s">
        <v>1</v>
      </c>
    </row>
    <row r="62" spans="1:4" s="72" customFormat="1">
      <c r="B62" s="89"/>
      <c r="C62" s="90"/>
      <c r="D62" s="91"/>
    </row>
    <row r="63" spans="1:4" s="72" customFormat="1">
      <c r="B63" s="83" t="s">
        <v>60</v>
      </c>
      <c r="C63" s="84"/>
      <c r="D63" s="85"/>
    </row>
    <row r="64" spans="1:4" s="72" customFormat="1">
      <c r="B64" s="86" t="s">
        <v>61</v>
      </c>
      <c r="C64" s="87">
        <f>C66</f>
        <v>151</v>
      </c>
      <c r="D64" s="88" t="s">
        <v>1</v>
      </c>
    </row>
    <row r="65" spans="1:98" s="72" customFormat="1">
      <c r="B65" s="89"/>
      <c r="C65" s="90"/>
      <c r="D65" s="91"/>
    </row>
    <row r="66" spans="1:98" s="72" customFormat="1">
      <c r="A66" s="72">
        <v>20</v>
      </c>
      <c r="B66" s="95" t="s">
        <v>62</v>
      </c>
      <c r="C66" s="96">
        <f>C90</f>
        <v>151</v>
      </c>
      <c r="D66" s="97" t="s">
        <v>1</v>
      </c>
    </row>
    <row r="67" spans="1:98" s="74" customFormat="1" ht="15.75">
      <c r="B67" s="98"/>
      <c r="C67" s="98"/>
      <c r="D67" s="98"/>
    </row>
    <row r="68" spans="1:98" s="72" customFormat="1"/>
    <row r="69" spans="1:98" s="72" customFormat="1">
      <c r="B69" s="99" t="s">
        <v>63</v>
      </c>
      <c r="C69" s="100">
        <f t="shared" ref="C69:C90" si="0">C94+C118+C143+C168+C193+C218+C243</f>
        <v>151</v>
      </c>
      <c r="D69" s="101" t="str">
        <f>$D$3</f>
        <v>UNITS</v>
      </c>
      <c r="CJ69" s="76"/>
      <c r="CK69" s="76"/>
      <c r="CL69" s="76"/>
      <c r="CM69" s="76"/>
      <c r="CN69" s="76"/>
      <c r="CO69" s="76"/>
      <c r="CP69" s="76"/>
      <c r="CQ69" s="76"/>
      <c r="CR69" s="76"/>
      <c r="CS69" s="76"/>
      <c r="CT69" s="76"/>
    </row>
    <row r="70" spans="1:98" s="72" customFormat="1">
      <c r="B70" s="166"/>
      <c r="C70" s="167"/>
      <c r="D70" s="168"/>
      <c r="CJ70" s="76"/>
      <c r="CK70" s="76"/>
      <c r="CL70" s="76"/>
      <c r="CM70" s="76"/>
      <c r="CN70" s="76"/>
      <c r="CO70" s="76"/>
      <c r="CP70" s="76"/>
      <c r="CQ70" s="76"/>
      <c r="CR70" s="76"/>
      <c r="CS70" s="76"/>
      <c r="CT70" s="76"/>
    </row>
    <row r="71" spans="1:98" s="72" customFormat="1">
      <c r="A71" s="98"/>
      <c r="B71" s="102" t="str">
        <f>$B$7</f>
        <v>1 Bed / 1 Bath</v>
      </c>
      <c r="C71" s="103">
        <f t="shared" si="0"/>
        <v>151</v>
      </c>
      <c r="D71" s="104" t="str">
        <f>$D$7</f>
        <v>EA</v>
      </c>
      <c r="CJ71" s="76"/>
      <c r="CK71" s="76"/>
      <c r="CL71" s="76"/>
      <c r="CM71" s="76"/>
      <c r="CN71" s="76"/>
      <c r="CO71" s="76"/>
      <c r="CP71" s="76"/>
      <c r="CQ71" s="76"/>
      <c r="CR71" s="76"/>
      <c r="CS71" s="76"/>
      <c r="CT71" s="76"/>
    </row>
    <row r="72" spans="1:98" s="72" customFormat="1">
      <c r="A72" s="98"/>
      <c r="B72" s="105" t="str">
        <f>$B$12</f>
        <v>Double Panel Entry Door</v>
      </c>
      <c r="C72" s="106">
        <f t="shared" si="0"/>
        <v>1</v>
      </c>
      <c r="D72" s="107" t="str">
        <f>$D$12</f>
        <v>EA</v>
      </c>
      <c r="CJ72" s="76"/>
      <c r="CK72" s="76"/>
      <c r="CL72" s="76"/>
      <c r="CM72" s="76"/>
      <c r="CN72" s="76"/>
      <c r="CO72" s="76"/>
      <c r="CP72" s="76"/>
      <c r="CQ72" s="76"/>
      <c r="CR72" s="76"/>
      <c r="CS72" s="76"/>
      <c r="CT72" s="76"/>
    </row>
    <row r="73" spans="1:98" s="72" customFormat="1">
      <c r="A73" s="98"/>
      <c r="B73" s="105" t="str">
        <f>$B$14</f>
        <v>Double Panel Interior Door</v>
      </c>
      <c r="C73" s="106">
        <f t="shared" si="0"/>
        <v>211</v>
      </c>
      <c r="D73" s="107" t="str">
        <f>$D$14</f>
        <v>EA</v>
      </c>
      <c r="CJ73" s="76"/>
      <c r="CK73" s="76"/>
      <c r="CL73" s="76"/>
      <c r="CM73" s="76"/>
      <c r="CN73" s="76"/>
      <c r="CO73" s="76"/>
      <c r="CP73" s="76"/>
      <c r="CQ73" s="76"/>
      <c r="CR73" s="76"/>
      <c r="CS73" s="76"/>
      <c r="CT73" s="76"/>
    </row>
    <row r="74" spans="1:98" s="72" customFormat="1">
      <c r="A74" s="98"/>
      <c r="B74" s="105" t="str">
        <f>$B$16</f>
        <v>Single Panel Balcony Door</v>
      </c>
      <c r="C74" s="106">
        <f t="shared" si="0"/>
        <v>15</v>
      </c>
      <c r="D74" s="107" t="str">
        <f>$D$16</f>
        <v>EA</v>
      </c>
      <c r="CJ74" s="76"/>
      <c r="CK74" s="76"/>
      <c r="CL74" s="76"/>
      <c r="CM74" s="76"/>
      <c r="CN74" s="76"/>
      <c r="CO74" s="76"/>
      <c r="CP74" s="76"/>
      <c r="CQ74" s="76"/>
      <c r="CR74" s="76"/>
      <c r="CS74" s="76"/>
      <c r="CT74" s="76"/>
    </row>
    <row r="75" spans="1:98" s="72" customFormat="1">
      <c r="A75" s="98"/>
      <c r="B75" s="105" t="str">
        <f>$B$18</f>
        <v>Single Panel Entry Door</v>
      </c>
      <c r="C75" s="106">
        <f t="shared" si="0"/>
        <v>150</v>
      </c>
      <c r="D75" s="107" t="str">
        <f>$D$18</f>
        <v>EA</v>
      </c>
      <c r="CJ75" s="76"/>
      <c r="CK75" s="76"/>
      <c r="CL75" s="76"/>
      <c r="CM75" s="76"/>
      <c r="CN75" s="76"/>
      <c r="CO75" s="76"/>
      <c r="CP75" s="76"/>
      <c r="CQ75" s="76"/>
      <c r="CR75" s="76"/>
      <c r="CS75" s="76"/>
      <c r="CT75" s="76"/>
    </row>
    <row r="76" spans="1:98" s="72" customFormat="1">
      <c r="A76" s="98"/>
      <c r="B76" s="105" t="str">
        <f>$B$20</f>
        <v>Single Panel Interior Door</v>
      </c>
      <c r="C76" s="106">
        <f t="shared" si="0"/>
        <v>152</v>
      </c>
      <c r="D76" s="107" t="str">
        <f>$D$20</f>
        <v>EA</v>
      </c>
      <c r="CJ76" s="76"/>
      <c r="CK76" s="76"/>
      <c r="CL76" s="76"/>
      <c r="CM76" s="76"/>
      <c r="CN76" s="76"/>
      <c r="CO76" s="76"/>
      <c r="CP76" s="76"/>
      <c r="CQ76" s="76"/>
      <c r="CR76" s="76"/>
      <c r="CS76" s="76"/>
      <c r="CT76" s="76"/>
    </row>
    <row r="77" spans="1:98" s="72" customFormat="1">
      <c r="A77" s="98"/>
      <c r="B77" s="105" t="str">
        <f>$B$25</f>
        <v>Skim Coat Gypsum Plaster Ceiling</v>
      </c>
      <c r="C77" s="106">
        <f t="shared" si="0"/>
        <v>56372</v>
      </c>
      <c r="D77" s="107" t="str">
        <f>$D$25</f>
        <v>SF</v>
      </c>
      <c r="CJ77" s="76"/>
      <c r="CK77" s="76"/>
      <c r="CL77" s="76"/>
      <c r="CM77" s="76"/>
      <c r="CN77" s="76"/>
      <c r="CO77" s="76"/>
      <c r="CP77" s="76"/>
      <c r="CQ77" s="76"/>
      <c r="CR77" s="76"/>
      <c r="CS77" s="76"/>
      <c r="CT77" s="76"/>
    </row>
    <row r="78" spans="1:98" s="72" customFormat="1">
      <c r="A78" s="98"/>
      <c r="B78" s="105" t="str">
        <f>$B$29</f>
        <v>Floor Finish @ Bathroom</v>
      </c>
      <c r="C78" s="106">
        <f t="shared" si="0"/>
        <v>17928</v>
      </c>
      <c r="D78" s="107" t="str">
        <f>$D$29</f>
        <v>SF</v>
      </c>
      <c r="CJ78" s="76"/>
      <c r="CK78" s="76"/>
      <c r="CL78" s="76"/>
      <c r="CM78" s="76"/>
      <c r="CN78" s="76"/>
      <c r="CO78" s="76"/>
      <c r="CP78" s="76"/>
      <c r="CQ78" s="76"/>
      <c r="CR78" s="76"/>
      <c r="CS78" s="76"/>
      <c r="CT78" s="76"/>
    </row>
    <row r="79" spans="1:98" s="72" customFormat="1">
      <c r="A79" s="98"/>
      <c r="B79" s="105" t="str">
        <f>$B$31</f>
        <v>Floor Finish @ Bedroom</v>
      </c>
      <c r="C79" s="106">
        <f t="shared" si="0"/>
        <v>34518</v>
      </c>
      <c r="D79" s="107" t="str">
        <f>$D$31</f>
        <v>SF</v>
      </c>
      <c r="CJ79" s="76"/>
      <c r="CK79" s="76"/>
      <c r="CL79" s="76"/>
      <c r="CM79" s="76"/>
      <c r="CN79" s="76"/>
      <c r="CO79" s="76"/>
      <c r="CP79" s="76"/>
      <c r="CQ79" s="76"/>
      <c r="CR79" s="76"/>
      <c r="CS79" s="76"/>
      <c r="CT79" s="76"/>
    </row>
    <row r="80" spans="1:98" s="72" customFormat="1">
      <c r="A80" s="98"/>
      <c r="B80" s="105" t="str">
        <f>$B$33</f>
        <v>Floor Finish @ Closet</v>
      </c>
      <c r="C80" s="106">
        <f t="shared" si="0"/>
        <v>1265</v>
      </c>
      <c r="D80" s="107" t="str">
        <f>$D$33</f>
        <v>SF</v>
      </c>
      <c r="CJ80" s="76"/>
      <c r="CK80" s="76"/>
      <c r="CL80" s="76"/>
      <c r="CM80" s="76"/>
      <c r="CN80" s="76"/>
      <c r="CO80" s="76"/>
      <c r="CP80" s="76"/>
      <c r="CQ80" s="76"/>
      <c r="CR80" s="76"/>
      <c r="CS80" s="76"/>
      <c r="CT80" s="76"/>
    </row>
    <row r="81" spans="1:98" s="72" customFormat="1">
      <c r="A81" s="98"/>
      <c r="B81" s="105" t="str">
        <f>$B$35</f>
        <v>Floor Finish @ Hall</v>
      </c>
      <c r="C81" s="106">
        <f t="shared" si="0"/>
        <v>4291</v>
      </c>
      <c r="D81" s="107" t="str">
        <f>$D$35</f>
        <v>SF</v>
      </c>
      <c r="CJ81" s="76"/>
      <c r="CK81" s="76"/>
      <c r="CL81" s="76"/>
      <c r="CM81" s="76"/>
      <c r="CN81" s="76"/>
      <c r="CO81" s="76"/>
      <c r="CP81" s="76"/>
      <c r="CQ81" s="76"/>
      <c r="CR81" s="76"/>
      <c r="CS81" s="76"/>
      <c r="CT81" s="76"/>
    </row>
    <row r="82" spans="1:98" s="72" customFormat="1">
      <c r="A82" s="98"/>
      <c r="B82" s="105" t="str">
        <f>$B$37</f>
        <v>Floor Finish @ Shower</v>
      </c>
      <c r="C82" s="106">
        <f t="shared" si="0"/>
        <v>1722</v>
      </c>
      <c r="D82" s="107" t="str">
        <f>$D$37</f>
        <v>SF</v>
      </c>
      <c r="CJ82" s="76"/>
      <c r="CK82" s="76"/>
      <c r="CL82" s="76"/>
      <c r="CM82" s="76"/>
      <c r="CN82" s="76"/>
      <c r="CO82" s="76"/>
      <c r="CP82" s="76"/>
      <c r="CQ82" s="76"/>
      <c r="CR82" s="76"/>
      <c r="CS82" s="76"/>
      <c r="CT82" s="76"/>
    </row>
    <row r="83" spans="1:98" s="72" customFormat="1">
      <c r="A83" s="98"/>
      <c r="B83" s="105" t="str">
        <f>$B$41</f>
        <v>Wall Base</v>
      </c>
      <c r="C83" s="106">
        <f t="shared" si="0"/>
        <v>17286</v>
      </c>
      <c r="D83" s="107" t="str">
        <f>$D$41</f>
        <v>LF</v>
      </c>
      <c r="CJ83" s="76"/>
      <c r="CK83" s="76"/>
      <c r="CL83" s="76"/>
      <c r="CM83" s="76"/>
      <c r="CN83" s="76"/>
      <c r="CO83" s="76"/>
      <c r="CP83" s="76"/>
      <c r="CQ83" s="76"/>
      <c r="CR83" s="76"/>
      <c r="CS83" s="76"/>
      <c r="CT83" s="76"/>
    </row>
    <row r="84" spans="1:98" s="72" customFormat="1">
      <c r="A84" s="98"/>
      <c r="B84" s="105" t="str">
        <f>$B$45</f>
        <v>Wall Tile @ Bathroom @ Ht. 9'0" (Assumed)</v>
      </c>
      <c r="C84" s="106">
        <f t="shared" si="0"/>
        <v>1382</v>
      </c>
      <c r="D84" s="107" t="str">
        <f>$D$45</f>
        <v>LF</v>
      </c>
      <c r="CJ84" s="76"/>
      <c r="CK84" s="76"/>
      <c r="CL84" s="76"/>
      <c r="CM84" s="76"/>
      <c r="CN84" s="76"/>
      <c r="CO84" s="76"/>
      <c r="CP84" s="76"/>
      <c r="CQ84" s="76"/>
      <c r="CR84" s="76"/>
      <c r="CS84" s="76"/>
      <c r="CT84" s="76"/>
    </row>
    <row r="85" spans="1:98" s="72" customFormat="1">
      <c r="A85" s="98"/>
      <c r="B85" s="105" t="str">
        <f>$B$50</f>
        <v>Shower Enclosure Door W/ Partition</v>
      </c>
      <c r="C85" s="106">
        <f t="shared" si="0"/>
        <v>151</v>
      </c>
      <c r="D85" s="107" t="str">
        <f>$D$50</f>
        <v>EA</v>
      </c>
      <c r="CJ85" s="76"/>
      <c r="CK85" s="76"/>
      <c r="CL85" s="76"/>
      <c r="CM85" s="76"/>
      <c r="CN85" s="76"/>
      <c r="CO85" s="76"/>
      <c r="CP85" s="76"/>
      <c r="CQ85" s="76"/>
      <c r="CR85" s="76"/>
      <c r="CS85" s="76"/>
      <c r="CT85" s="76"/>
    </row>
    <row r="86" spans="1:98" s="72" customFormat="1">
      <c r="A86" s="98"/>
      <c r="B86" s="105" t="str">
        <f>$B$52</f>
        <v>Lavatory</v>
      </c>
      <c r="C86" s="106">
        <f t="shared" si="0"/>
        <v>151</v>
      </c>
      <c r="D86" s="107" t="str">
        <f>$D$52</f>
        <v>EA</v>
      </c>
      <c r="CJ86" s="76"/>
      <c r="CK86" s="76"/>
      <c r="CL86" s="76"/>
      <c r="CM86" s="76"/>
      <c r="CN86" s="76"/>
      <c r="CO86" s="76"/>
      <c r="CP86" s="76"/>
      <c r="CQ86" s="76"/>
      <c r="CR86" s="76"/>
      <c r="CS86" s="76"/>
      <c r="CT86" s="76"/>
    </row>
    <row r="87" spans="1:98" s="72" customFormat="1">
      <c r="A87" s="98"/>
      <c r="B87" s="105" t="str">
        <f>$B$54</f>
        <v>Shower</v>
      </c>
      <c r="C87" s="106">
        <f t="shared" si="0"/>
        <v>151</v>
      </c>
      <c r="D87" s="107" t="str">
        <f>$D$54</f>
        <v>EA</v>
      </c>
      <c r="CJ87" s="76"/>
      <c r="CK87" s="76"/>
      <c r="CL87" s="76"/>
      <c r="CM87" s="76"/>
      <c r="CN87" s="76"/>
      <c r="CO87" s="76"/>
      <c r="CP87" s="76"/>
      <c r="CQ87" s="76"/>
      <c r="CR87" s="76"/>
      <c r="CS87" s="76"/>
      <c r="CT87" s="76"/>
    </row>
    <row r="88" spans="1:98" s="72" customFormat="1">
      <c r="A88" s="98"/>
      <c r="B88" s="105" t="str">
        <f>$B$56</f>
        <v>Water Closet</v>
      </c>
      <c r="C88" s="106">
        <f t="shared" si="0"/>
        <v>151</v>
      </c>
      <c r="D88" s="107" t="str">
        <f>$D$56</f>
        <v>EA</v>
      </c>
      <c r="CJ88" s="76"/>
      <c r="CK88" s="76"/>
      <c r="CL88" s="76"/>
      <c r="CM88" s="76"/>
      <c r="CN88" s="76"/>
      <c r="CO88" s="76"/>
      <c r="CP88" s="76"/>
      <c r="CQ88" s="76"/>
      <c r="CR88" s="76"/>
      <c r="CS88" s="76"/>
      <c r="CT88" s="76"/>
    </row>
    <row r="89" spans="1:98" s="72" customFormat="1">
      <c r="A89" s="98"/>
      <c r="B89" s="105" t="str">
        <f>$B$61</f>
        <v>Chilled Water Concealed Ducted Unit w/ Electric Heat</v>
      </c>
      <c r="C89" s="106">
        <f t="shared" si="0"/>
        <v>151</v>
      </c>
      <c r="D89" s="107" t="str">
        <f>$D$61</f>
        <v>EA</v>
      </c>
      <c r="CJ89" s="76"/>
      <c r="CK89" s="76"/>
      <c r="CL89" s="76"/>
      <c r="CM89" s="76"/>
      <c r="CN89" s="76"/>
      <c r="CO89" s="76"/>
      <c r="CP89" s="76"/>
      <c r="CQ89" s="76"/>
      <c r="CR89" s="76"/>
      <c r="CS89" s="76"/>
      <c r="CT89" s="76"/>
    </row>
    <row r="90" spans="1:98" s="72" customFormat="1">
      <c r="A90" s="98"/>
      <c r="B90" s="108" t="str">
        <f>$B$66</f>
        <v>Panel Board</v>
      </c>
      <c r="C90" s="109">
        <f t="shared" si="0"/>
        <v>151</v>
      </c>
      <c r="D90" s="110" t="str">
        <f>$D$66</f>
        <v>EA</v>
      </c>
      <c r="CJ90" s="76"/>
      <c r="CK90" s="76"/>
      <c r="CL90" s="76"/>
      <c r="CM90" s="76"/>
      <c r="CN90" s="76"/>
      <c r="CO90" s="76"/>
      <c r="CP90" s="76"/>
      <c r="CQ90" s="76"/>
      <c r="CR90" s="76"/>
      <c r="CS90" s="76"/>
      <c r="CT90" s="76"/>
    </row>
    <row r="91" spans="1:98" s="72" customFormat="1"/>
    <row r="92" spans="1:98" s="72" customFormat="1"/>
    <row r="93" spans="1:98" s="72" customFormat="1"/>
    <row r="94" spans="1:98" s="75" customFormat="1" ht="15.75">
      <c r="A94" s="74"/>
      <c r="B94" s="111" t="s">
        <v>64</v>
      </c>
      <c r="C94" s="112">
        <f>H94+M94+R94+W94+AB94</f>
        <v>8</v>
      </c>
      <c r="D94" s="113"/>
      <c r="E94" s="74"/>
      <c r="F94" s="74"/>
      <c r="G94" s="114" t="s">
        <v>65</v>
      </c>
      <c r="H94" s="115">
        <v>1</v>
      </c>
      <c r="I94" s="115" t="s">
        <v>25</v>
      </c>
      <c r="J94" s="120"/>
      <c r="K94" s="74"/>
      <c r="L94" s="114" t="s">
        <v>66</v>
      </c>
      <c r="M94" s="115">
        <v>2</v>
      </c>
      <c r="N94" s="115" t="s">
        <v>25</v>
      </c>
      <c r="O94" s="120"/>
      <c r="P94" s="74"/>
      <c r="Q94" s="114" t="s">
        <v>67</v>
      </c>
      <c r="R94" s="115">
        <v>2</v>
      </c>
      <c r="S94" s="115" t="s">
        <v>25</v>
      </c>
      <c r="T94" s="120"/>
      <c r="U94" s="74"/>
      <c r="V94" s="114" t="s">
        <v>68</v>
      </c>
      <c r="W94" s="115">
        <v>2</v>
      </c>
      <c r="X94" s="115" t="s">
        <v>25</v>
      </c>
      <c r="Y94" s="120"/>
      <c r="Z94" s="74"/>
      <c r="AA94" s="114" t="s">
        <v>69</v>
      </c>
      <c r="AB94" s="115">
        <v>1</v>
      </c>
      <c r="AC94" s="115" t="s">
        <v>25</v>
      </c>
      <c r="AD94" s="120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74"/>
      <c r="BS94" s="74"/>
      <c r="BT94" s="74"/>
      <c r="BU94" s="74"/>
      <c r="BV94" s="74"/>
      <c r="BW94" s="74"/>
      <c r="BX94" s="74"/>
      <c r="BY94" s="74"/>
      <c r="BZ94" s="74"/>
      <c r="CA94" s="74"/>
      <c r="CB94" s="74"/>
      <c r="CC94" s="74"/>
      <c r="CD94" s="74"/>
      <c r="CE94" s="74"/>
      <c r="CF94" s="74"/>
      <c r="CG94" s="74"/>
      <c r="CH94" s="74"/>
    </row>
    <row r="95" spans="1:98" s="75" customFormat="1" ht="15.75">
      <c r="A95" s="74"/>
      <c r="B95" s="116"/>
      <c r="C95" s="117"/>
      <c r="D95" s="118"/>
      <c r="E95" s="74"/>
      <c r="F95" s="74"/>
      <c r="G95" s="116"/>
      <c r="H95" s="119"/>
      <c r="I95" s="121"/>
      <c r="J95" s="121"/>
      <c r="K95" s="74"/>
      <c r="L95" s="116"/>
      <c r="M95" s="119"/>
      <c r="N95" s="121"/>
      <c r="O95" s="121"/>
      <c r="P95" s="74"/>
      <c r="Q95" s="116"/>
      <c r="R95" s="119"/>
      <c r="S95" s="121"/>
      <c r="T95" s="121"/>
      <c r="U95" s="74"/>
      <c r="V95" s="116"/>
      <c r="W95" s="119"/>
      <c r="X95" s="121"/>
      <c r="Y95" s="121"/>
      <c r="Z95" s="74"/>
      <c r="AA95" s="116"/>
      <c r="AB95" s="119"/>
      <c r="AC95" s="121"/>
      <c r="AD95" s="121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74"/>
      <c r="BN95" s="74"/>
      <c r="BO95" s="74"/>
      <c r="BP95" s="74"/>
      <c r="BQ95" s="74"/>
      <c r="BR95" s="74"/>
      <c r="BS95" s="74"/>
      <c r="BT95" s="74"/>
      <c r="BU95" s="74"/>
      <c r="BV95" s="74"/>
      <c r="BW95" s="74"/>
      <c r="BX95" s="74"/>
      <c r="BY95" s="74"/>
      <c r="BZ95" s="74"/>
      <c r="CA95" s="74"/>
      <c r="CB95" s="74"/>
      <c r="CC95" s="74"/>
      <c r="CD95" s="74"/>
      <c r="CE95" s="74"/>
      <c r="CF95" s="74"/>
      <c r="CG95" s="74"/>
      <c r="CH95" s="74"/>
    </row>
    <row r="96" spans="1:98">
      <c r="B96" s="102" t="str">
        <f>$B$7</f>
        <v>1 Bed / 1 Bath</v>
      </c>
      <c r="C96" s="103">
        <f t="shared" ref="C96:C115" si="1">AD96+Y96+T96+O96+J96</f>
        <v>8</v>
      </c>
      <c r="D96" s="104" t="str">
        <f>$D$7</f>
        <v>EA</v>
      </c>
      <c r="G96" s="102" t="str">
        <f>$B$7</f>
        <v>1 Bed / 1 Bath</v>
      </c>
      <c r="H96" s="103">
        <v>1</v>
      </c>
      <c r="I96" s="104" t="str">
        <f>$D$7</f>
        <v>EA</v>
      </c>
      <c r="J96" s="104">
        <f t="shared" ref="J96:J115" si="2">ROUNDUP(H96*$H$94,0)</f>
        <v>1</v>
      </c>
      <c r="L96" s="102" t="str">
        <f>$B$7</f>
        <v>1 Bed / 1 Bath</v>
      </c>
      <c r="M96" s="103">
        <v>1</v>
      </c>
      <c r="N96" s="104" t="str">
        <f>$D$7</f>
        <v>EA</v>
      </c>
      <c r="O96" s="104">
        <f t="shared" ref="O96:O115" si="3">ROUNDUP(M96*$M$94,0)</f>
        <v>2</v>
      </c>
      <c r="Q96" s="102" t="str">
        <f>$B$7</f>
        <v>1 Bed / 1 Bath</v>
      </c>
      <c r="R96" s="103">
        <v>1</v>
      </c>
      <c r="S96" s="104" t="str">
        <f>$D$7</f>
        <v>EA</v>
      </c>
      <c r="T96" s="104">
        <f t="shared" ref="T96:T115" si="4">ROUNDUP(R96*$R$94,0)</f>
        <v>2</v>
      </c>
      <c r="V96" s="102" t="str">
        <f>$B$7</f>
        <v>1 Bed / 1 Bath</v>
      </c>
      <c r="W96" s="103">
        <v>1</v>
      </c>
      <c r="X96" s="104" t="str">
        <f>$D$7</f>
        <v>EA</v>
      </c>
      <c r="Y96" s="104">
        <f t="shared" ref="Y96:Y115" si="5">ROUNDUP(W96*$W$94,0)</f>
        <v>2</v>
      </c>
      <c r="AA96" s="102" t="str">
        <f>$B$7</f>
        <v>1 Bed / 1 Bath</v>
      </c>
      <c r="AB96" s="103">
        <v>1</v>
      </c>
      <c r="AC96" s="104" t="str">
        <f>$D$7</f>
        <v>EA</v>
      </c>
      <c r="AD96" s="104">
        <f t="shared" ref="AD96:AD115" si="6">ROUNDUP(AB96*$AB$94,0)</f>
        <v>1</v>
      </c>
    </row>
    <row r="97" spans="2:97">
      <c r="B97" s="105" t="str">
        <f>$B$12</f>
        <v>Double Panel Entry Door</v>
      </c>
      <c r="C97" s="106">
        <f t="shared" si="1"/>
        <v>0</v>
      </c>
      <c r="D97" s="107" t="str">
        <f>$D$12</f>
        <v>EA</v>
      </c>
      <c r="G97" s="105" t="str">
        <f>$B$12</f>
        <v>Double Panel Entry Door</v>
      </c>
      <c r="H97" s="106">
        <v>0</v>
      </c>
      <c r="I97" s="107" t="str">
        <f>$D$12</f>
        <v>EA</v>
      </c>
      <c r="J97" s="107">
        <f t="shared" si="2"/>
        <v>0</v>
      </c>
      <c r="L97" s="105" t="str">
        <f>$B$12</f>
        <v>Double Panel Entry Door</v>
      </c>
      <c r="M97" s="106">
        <v>0</v>
      </c>
      <c r="N97" s="107" t="str">
        <f>$D$12</f>
        <v>EA</v>
      </c>
      <c r="O97" s="107">
        <f t="shared" si="3"/>
        <v>0</v>
      </c>
      <c r="Q97" s="105" t="str">
        <f>$B$12</f>
        <v>Double Panel Entry Door</v>
      </c>
      <c r="R97" s="106">
        <v>0</v>
      </c>
      <c r="S97" s="107" t="str">
        <f>$D$12</f>
        <v>EA</v>
      </c>
      <c r="T97" s="107">
        <f t="shared" si="4"/>
        <v>0</v>
      </c>
      <c r="V97" s="105" t="str">
        <f>$B$12</f>
        <v>Double Panel Entry Door</v>
      </c>
      <c r="W97" s="106">
        <v>0</v>
      </c>
      <c r="X97" s="107" t="str">
        <f>$D$12</f>
        <v>EA</v>
      </c>
      <c r="Y97" s="107">
        <f t="shared" si="5"/>
        <v>0</v>
      </c>
      <c r="AA97" s="105" t="str">
        <f>$B$12</f>
        <v>Double Panel Entry Door</v>
      </c>
      <c r="AB97" s="106">
        <v>0</v>
      </c>
      <c r="AC97" s="107" t="str">
        <f>$D$12</f>
        <v>EA</v>
      </c>
      <c r="AD97" s="107">
        <f t="shared" si="6"/>
        <v>0</v>
      </c>
    </row>
    <row r="98" spans="2:97">
      <c r="B98" s="105" t="str">
        <f>$B$14</f>
        <v>Double Panel Interior Door</v>
      </c>
      <c r="C98" s="106">
        <f t="shared" si="1"/>
        <v>0</v>
      </c>
      <c r="D98" s="107" t="str">
        <f>$D$14</f>
        <v>EA</v>
      </c>
      <c r="G98" s="105" t="str">
        <f>$B$14</f>
        <v>Double Panel Interior Door</v>
      </c>
      <c r="H98" s="106">
        <v>0</v>
      </c>
      <c r="I98" s="107" t="str">
        <f>$D$14</f>
        <v>EA</v>
      </c>
      <c r="J98" s="107">
        <f t="shared" si="2"/>
        <v>0</v>
      </c>
      <c r="L98" s="105" t="str">
        <f>$B$14</f>
        <v>Double Panel Interior Door</v>
      </c>
      <c r="M98" s="106">
        <v>0</v>
      </c>
      <c r="N98" s="107" t="str">
        <f>$D$14</f>
        <v>EA</v>
      </c>
      <c r="O98" s="107">
        <f t="shared" si="3"/>
        <v>0</v>
      </c>
      <c r="Q98" s="105" t="str">
        <f>$B$14</f>
        <v>Double Panel Interior Door</v>
      </c>
      <c r="R98" s="106">
        <v>0</v>
      </c>
      <c r="S98" s="107" t="str">
        <f>$D$14</f>
        <v>EA</v>
      </c>
      <c r="T98" s="107">
        <f t="shared" si="4"/>
        <v>0</v>
      </c>
      <c r="V98" s="105" t="str">
        <f>$B$14</f>
        <v>Double Panel Interior Door</v>
      </c>
      <c r="W98" s="106">
        <v>0</v>
      </c>
      <c r="X98" s="107" t="str">
        <f>$D$14</f>
        <v>EA</v>
      </c>
      <c r="Y98" s="107">
        <f t="shared" si="5"/>
        <v>0</v>
      </c>
      <c r="AA98" s="105" t="str">
        <f>$B$14</f>
        <v>Double Panel Interior Door</v>
      </c>
      <c r="AB98" s="106">
        <v>0</v>
      </c>
      <c r="AC98" s="107" t="str">
        <f>$D$14</f>
        <v>EA</v>
      </c>
      <c r="AD98" s="107">
        <f t="shared" si="6"/>
        <v>0</v>
      </c>
    </row>
    <row r="99" spans="2:97">
      <c r="B99" s="105" t="str">
        <f>$B$16</f>
        <v>Single Panel Balcony Door</v>
      </c>
      <c r="C99" s="106">
        <f t="shared" si="1"/>
        <v>0</v>
      </c>
      <c r="D99" s="107" t="str">
        <f>$D$16</f>
        <v>EA</v>
      </c>
      <c r="G99" s="105" t="str">
        <f>$B$16</f>
        <v>Single Panel Balcony Door</v>
      </c>
      <c r="H99" s="106">
        <v>0</v>
      </c>
      <c r="I99" s="107" t="str">
        <f>$D$16</f>
        <v>EA</v>
      </c>
      <c r="J99" s="107">
        <f t="shared" si="2"/>
        <v>0</v>
      </c>
      <c r="L99" s="105" t="str">
        <f>$B$16</f>
        <v>Single Panel Balcony Door</v>
      </c>
      <c r="M99" s="106">
        <v>0</v>
      </c>
      <c r="N99" s="107" t="str">
        <f>$D$16</f>
        <v>EA</v>
      </c>
      <c r="O99" s="107">
        <f t="shared" si="3"/>
        <v>0</v>
      </c>
      <c r="Q99" s="105" t="str">
        <f>$B$16</f>
        <v>Single Panel Balcony Door</v>
      </c>
      <c r="R99" s="106">
        <v>0</v>
      </c>
      <c r="S99" s="107" t="str">
        <f>$D$16</f>
        <v>EA</v>
      </c>
      <c r="T99" s="107">
        <f t="shared" si="4"/>
        <v>0</v>
      </c>
      <c r="V99" s="105" t="str">
        <f>$B$16</f>
        <v>Single Panel Balcony Door</v>
      </c>
      <c r="W99" s="106">
        <v>0</v>
      </c>
      <c r="X99" s="107" t="str">
        <f>$D$16</f>
        <v>EA</v>
      </c>
      <c r="Y99" s="107">
        <f t="shared" si="5"/>
        <v>0</v>
      </c>
      <c r="AA99" s="105" t="str">
        <f>$B$16</f>
        <v>Single Panel Balcony Door</v>
      </c>
      <c r="AB99" s="106">
        <v>0</v>
      </c>
      <c r="AC99" s="107" t="str">
        <f>$D$16</f>
        <v>EA</v>
      </c>
      <c r="AD99" s="107">
        <f t="shared" si="6"/>
        <v>0</v>
      </c>
    </row>
    <row r="100" spans="2:97" s="72" customFormat="1">
      <c r="B100" s="105" t="str">
        <f>$B$18</f>
        <v>Single Panel Entry Door</v>
      </c>
      <c r="C100" s="106">
        <f t="shared" si="1"/>
        <v>8</v>
      </c>
      <c r="D100" s="107" t="str">
        <f>$D$18</f>
        <v>EA</v>
      </c>
      <c r="G100" s="105" t="str">
        <f>$B$18</f>
        <v>Single Panel Entry Door</v>
      </c>
      <c r="H100" s="106">
        <v>1</v>
      </c>
      <c r="I100" s="107" t="str">
        <f>$D$18</f>
        <v>EA</v>
      </c>
      <c r="J100" s="107">
        <f t="shared" si="2"/>
        <v>1</v>
      </c>
      <c r="L100" s="105" t="str">
        <f>$B$18</f>
        <v>Single Panel Entry Door</v>
      </c>
      <c r="M100" s="106">
        <v>1</v>
      </c>
      <c r="N100" s="107" t="str">
        <f>$D$18</f>
        <v>EA</v>
      </c>
      <c r="O100" s="107">
        <f t="shared" si="3"/>
        <v>2</v>
      </c>
      <c r="Q100" s="105" t="str">
        <f>$B$18</f>
        <v>Single Panel Entry Door</v>
      </c>
      <c r="R100" s="106">
        <v>1</v>
      </c>
      <c r="S100" s="107" t="str">
        <f>$D$18</f>
        <v>EA</v>
      </c>
      <c r="T100" s="107">
        <f t="shared" si="4"/>
        <v>2</v>
      </c>
      <c r="V100" s="105" t="str">
        <f>$B$18</f>
        <v>Single Panel Entry Door</v>
      </c>
      <c r="W100" s="106">
        <v>1</v>
      </c>
      <c r="X100" s="107" t="str">
        <f>$D$18</f>
        <v>EA</v>
      </c>
      <c r="Y100" s="107">
        <f t="shared" si="5"/>
        <v>2</v>
      </c>
      <c r="AA100" s="105" t="str">
        <f>$B$18</f>
        <v>Single Panel Entry Door</v>
      </c>
      <c r="AB100" s="106">
        <v>1</v>
      </c>
      <c r="AC100" s="107" t="str">
        <f>$D$18</f>
        <v>EA</v>
      </c>
      <c r="AD100" s="107">
        <f t="shared" si="6"/>
        <v>1</v>
      </c>
      <c r="CI100" s="76"/>
      <c r="CJ100" s="76"/>
      <c r="CK100" s="76"/>
      <c r="CL100" s="76"/>
      <c r="CM100" s="76"/>
      <c r="CN100" s="76"/>
      <c r="CO100" s="76"/>
      <c r="CP100" s="76"/>
      <c r="CQ100" s="76"/>
      <c r="CR100" s="76"/>
      <c r="CS100" s="76"/>
    </row>
    <row r="101" spans="2:97" s="72" customFormat="1">
      <c r="B101" s="105" t="str">
        <f>$B$20</f>
        <v>Single Panel Interior Door</v>
      </c>
      <c r="C101" s="106">
        <f t="shared" si="1"/>
        <v>8</v>
      </c>
      <c r="D101" s="107" t="str">
        <f>$D$20</f>
        <v>EA</v>
      </c>
      <c r="G101" s="105" t="str">
        <f>$B$20</f>
        <v>Single Panel Interior Door</v>
      </c>
      <c r="H101" s="106">
        <v>1</v>
      </c>
      <c r="I101" s="107" t="str">
        <f>$D$20</f>
        <v>EA</v>
      </c>
      <c r="J101" s="107">
        <f t="shared" si="2"/>
        <v>1</v>
      </c>
      <c r="L101" s="105" t="str">
        <f>$B$20</f>
        <v>Single Panel Interior Door</v>
      </c>
      <c r="M101" s="106">
        <v>1</v>
      </c>
      <c r="N101" s="107" t="str">
        <f>$D$20</f>
        <v>EA</v>
      </c>
      <c r="O101" s="107">
        <f t="shared" si="3"/>
        <v>2</v>
      </c>
      <c r="Q101" s="105" t="str">
        <f>$B$20</f>
        <v>Single Panel Interior Door</v>
      </c>
      <c r="R101" s="106">
        <v>1</v>
      </c>
      <c r="S101" s="107" t="str">
        <f>$D$20</f>
        <v>EA</v>
      </c>
      <c r="T101" s="107">
        <f t="shared" si="4"/>
        <v>2</v>
      </c>
      <c r="V101" s="105" t="str">
        <f>$B$20</f>
        <v>Single Panel Interior Door</v>
      </c>
      <c r="W101" s="106">
        <v>1</v>
      </c>
      <c r="X101" s="107" t="str">
        <f>$D$20</f>
        <v>EA</v>
      </c>
      <c r="Y101" s="107">
        <f t="shared" si="5"/>
        <v>2</v>
      </c>
      <c r="AA101" s="105" t="str">
        <f>$B$20</f>
        <v>Single Panel Interior Door</v>
      </c>
      <c r="AB101" s="106">
        <v>1</v>
      </c>
      <c r="AC101" s="107" t="str">
        <f>$D$20</f>
        <v>EA</v>
      </c>
      <c r="AD101" s="107">
        <f t="shared" si="6"/>
        <v>1</v>
      </c>
      <c r="CI101" s="76"/>
      <c r="CJ101" s="76"/>
      <c r="CK101" s="76"/>
      <c r="CL101" s="76"/>
      <c r="CM101" s="76"/>
      <c r="CN101" s="76"/>
      <c r="CO101" s="76"/>
      <c r="CP101" s="76"/>
      <c r="CQ101" s="76"/>
      <c r="CR101" s="76"/>
      <c r="CS101" s="76"/>
    </row>
    <row r="102" spans="2:97" s="72" customFormat="1">
      <c r="B102" s="105" t="str">
        <f>$B$25</f>
        <v>Skim Coat Gypsum Plaster Ceiling</v>
      </c>
      <c r="C102" s="106">
        <f t="shared" si="1"/>
        <v>3352</v>
      </c>
      <c r="D102" s="107" t="str">
        <f>$D$25</f>
        <v>SF</v>
      </c>
      <c r="G102" s="105" t="str">
        <f>$B$25</f>
        <v>Skim Coat Gypsum Plaster Ceiling</v>
      </c>
      <c r="H102" s="106">
        <v>418.61</v>
      </c>
      <c r="I102" s="107" t="str">
        <f>$D$25</f>
        <v>SF</v>
      </c>
      <c r="J102" s="107">
        <f t="shared" si="2"/>
        <v>419</v>
      </c>
      <c r="L102" s="105" t="str">
        <f>$B$25</f>
        <v>Skim Coat Gypsum Plaster Ceiling</v>
      </c>
      <c r="M102" s="106">
        <v>418.61</v>
      </c>
      <c r="N102" s="107" t="str">
        <f>$D$25</f>
        <v>SF</v>
      </c>
      <c r="O102" s="107">
        <f t="shared" si="3"/>
        <v>838</v>
      </c>
      <c r="Q102" s="105" t="str">
        <f>$B$25</f>
        <v>Skim Coat Gypsum Plaster Ceiling</v>
      </c>
      <c r="R102" s="106">
        <v>418.61</v>
      </c>
      <c r="S102" s="107" t="str">
        <f>$D$25</f>
        <v>SF</v>
      </c>
      <c r="T102" s="107">
        <f t="shared" si="4"/>
        <v>838</v>
      </c>
      <c r="V102" s="105" t="str">
        <f>$B$25</f>
        <v>Skim Coat Gypsum Plaster Ceiling</v>
      </c>
      <c r="W102" s="106">
        <v>418.61</v>
      </c>
      <c r="X102" s="107" t="str">
        <f>$D$25</f>
        <v>SF</v>
      </c>
      <c r="Y102" s="107">
        <f t="shared" si="5"/>
        <v>838</v>
      </c>
      <c r="AA102" s="105" t="str">
        <f>$B$25</f>
        <v>Skim Coat Gypsum Plaster Ceiling</v>
      </c>
      <c r="AB102" s="106">
        <v>418.61</v>
      </c>
      <c r="AC102" s="107" t="str">
        <f>$D$25</f>
        <v>SF</v>
      </c>
      <c r="AD102" s="107">
        <f t="shared" si="6"/>
        <v>419</v>
      </c>
      <c r="CI102" s="76"/>
      <c r="CJ102" s="76"/>
      <c r="CK102" s="76"/>
      <c r="CL102" s="76"/>
      <c r="CM102" s="76"/>
      <c r="CN102" s="76"/>
      <c r="CO102" s="76"/>
      <c r="CP102" s="76"/>
      <c r="CQ102" s="76"/>
      <c r="CR102" s="76"/>
      <c r="CS102" s="76"/>
    </row>
    <row r="103" spans="2:97" s="72" customFormat="1">
      <c r="B103" s="105" t="str">
        <f>$B$29</f>
        <v>Floor Finish @ Bathroom</v>
      </c>
      <c r="C103" s="106">
        <f t="shared" si="1"/>
        <v>712</v>
      </c>
      <c r="D103" s="107" t="str">
        <f>$D$29</f>
        <v>SF</v>
      </c>
      <c r="G103" s="105" t="str">
        <f>$B$29</f>
        <v>Floor Finish @ Bathroom</v>
      </c>
      <c r="H103" s="106">
        <v>88.84</v>
      </c>
      <c r="I103" s="107" t="str">
        <f>$D$29</f>
        <v>SF</v>
      </c>
      <c r="J103" s="107">
        <f t="shared" si="2"/>
        <v>89</v>
      </c>
      <c r="L103" s="105" t="str">
        <f>$B$29</f>
        <v>Floor Finish @ Bathroom</v>
      </c>
      <c r="M103" s="106">
        <v>88.84</v>
      </c>
      <c r="N103" s="107" t="str">
        <f>$D$29</f>
        <v>SF</v>
      </c>
      <c r="O103" s="107">
        <f t="shared" si="3"/>
        <v>178</v>
      </c>
      <c r="Q103" s="105" t="str">
        <f>$B$29</f>
        <v>Floor Finish @ Bathroom</v>
      </c>
      <c r="R103" s="106">
        <v>88.84</v>
      </c>
      <c r="S103" s="107" t="str">
        <f>$D$29</f>
        <v>SF</v>
      </c>
      <c r="T103" s="107">
        <f t="shared" si="4"/>
        <v>178</v>
      </c>
      <c r="V103" s="105" t="str">
        <f>$B$29</f>
        <v>Floor Finish @ Bathroom</v>
      </c>
      <c r="W103" s="106">
        <v>88.84</v>
      </c>
      <c r="X103" s="107" t="str">
        <f>$D$29</f>
        <v>SF</v>
      </c>
      <c r="Y103" s="107">
        <f t="shared" si="5"/>
        <v>178</v>
      </c>
      <c r="AA103" s="105" t="str">
        <f>$B$29</f>
        <v>Floor Finish @ Bathroom</v>
      </c>
      <c r="AB103" s="106">
        <v>88.84</v>
      </c>
      <c r="AC103" s="107" t="str">
        <f>$D$29</f>
        <v>SF</v>
      </c>
      <c r="AD103" s="107">
        <f t="shared" si="6"/>
        <v>89</v>
      </c>
      <c r="CI103" s="76"/>
      <c r="CJ103" s="76"/>
      <c r="CK103" s="76"/>
      <c r="CL103" s="76"/>
      <c r="CM103" s="76"/>
      <c r="CN103" s="76"/>
      <c r="CO103" s="76"/>
      <c r="CP103" s="76"/>
      <c r="CQ103" s="76"/>
      <c r="CR103" s="76"/>
      <c r="CS103" s="76"/>
    </row>
    <row r="104" spans="2:97" s="72" customFormat="1">
      <c r="B104" s="105" t="str">
        <f>$B$31</f>
        <v>Floor Finish @ Bedroom</v>
      </c>
      <c r="C104" s="106">
        <f t="shared" si="1"/>
        <v>2640</v>
      </c>
      <c r="D104" s="107" t="str">
        <f>$D$31</f>
        <v>SF</v>
      </c>
      <c r="G104" s="105" t="str">
        <f>$B$31</f>
        <v>Floor Finish @ Bedroom</v>
      </c>
      <c r="H104" s="106">
        <v>329.77</v>
      </c>
      <c r="I104" s="107" t="str">
        <f>$D$31</f>
        <v>SF</v>
      </c>
      <c r="J104" s="107">
        <f t="shared" si="2"/>
        <v>330</v>
      </c>
      <c r="L104" s="105" t="str">
        <f>$B$31</f>
        <v>Floor Finish @ Bedroom</v>
      </c>
      <c r="M104" s="106">
        <v>329.77</v>
      </c>
      <c r="N104" s="107" t="str">
        <f>$D$31</f>
        <v>SF</v>
      </c>
      <c r="O104" s="107">
        <f t="shared" si="3"/>
        <v>660</v>
      </c>
      <c r="Q104" s="105" t="str">
        <f>$B$31</f>
        <v>Floor Finish @ Bedroom</v>
      </c>
      <c r="R104" s="106">
        <v>329.77</v>
      </c>
      <c r="S104" s="107" t="str">
        <f>$D$31</f>
        <v>SF</v>
      </c>
      <c r="T104" s="107">
        <f t="shared" si="4"/>
        <v>660</v>
      </c>
      <c r="V104" s="105" t="str">
        <f>$B$31</f>
        <v>Floor Finish @ Bedroom</v>
      </c>
      <c r="W104" s="106">
        <v>329.77</v>
      </c>
      <c r="X104" s="107" t="str">
        <f>$D$31</f>
        <v>SF</v>
      </c>
      <c r="Y104" s="107">
        <f t="shared" si="5"/>
        <v>660</v>
      </c>
      <c r="AA104" s="105" t="str">
        <f>$B$31</f>
        <v>Floor Finish @ Bedroom</v>
      </c>
      <c r="AB104" s="106">
        <v>329.77</v>
      </c>
      <c r="AC104" s="107" t="str">
        <f>$D$31</f>
        <v>SF</v>
      </c>
      <c r="AD104" s="107">
        <f t="shared" si="6"/>
        <v>330</v>
      </c>
      <c r="CI104" s="76"/>
      <c r="CJ104" s="76"/>
      <c r="CK104" s="76"/>
      <c r="CL104" s="76"/>
      <c r="CM104" s="76"/>
      <c r="CN104" s="76"/>
      <c r="CO104" s="76"/>
      <c r="CP104" s="76"/>
      <c r="CQ104" s="76"/>
      <c r="CR104" s="76"/>
      <c r="CS104" s="76"/>
    </row>
    <row r="105" spans="2:97" s="72" customFormat="1">
      <c r="B105" s="105" t="str">
        <f>$B$33</f>
        <v>Floor Finish @ Closet</v>
      </c>
      <c r="C105" s="106">
        <f t="shared" si="1"/>
        <v>0</v>
      </c>
      <c r="D105" s="107" t="str">
        <f>$D$33</f>
        <v>SF</v>
      </c>
      <c r="G105" s="105" t="str">
        <f>$B$33</f>
        <v>Floor Finish @ Closet</v>
      </c>
      <c r="H105" s="106">
        <v>0</v>
      </c>
      <c r="I105" s="107" t="str">
        <f>$D$33</f>
        <v>SF</v>
      </c>
      <c r="J105" s="107">
        <f t="shared" si="2"/>
        <v>0</v>
      </c>
      <c r="L105" s="105" t="str">
        <f>$B$33</f>
        <v>Floor Finish @ Closet</v>
      </c>
      <c r="M105" s="106">
        <v>0</v>
      </c>
      <c r="N105" s="107" t="str">
        <f>$D$33</f>
        <v>SF</v>
      </c>
      <c r="O105" s="107">
        <f t="shared" si="3"/>
        <v>0</v>
      </c>
      <c r="Q105" s="105" t="str">
        <f>$B$33</f>
        <v>Floor Finish @ Closet</v>
      </c>
      <c r="R105" s="106">
        <v>0</v>
      </c>
      <c r="S105" s="107" t="str">
        <f>$D$33</f>
        <v>SF</v>
      </c>
      <c r="T105" s="107">
        <f t="shared" si="4"/>
        <v>0</v>
      </c>
      <c r="V105" s="105" t="str">
        <f>$B$33</f>
        <v>Floor Finish @ Closet</v>
      </c>
      <c r="W105" s="106">
        <v>0</v>
      </c>
      <c r="X105" s="107" t="str">
        <f>$D$33</f>
        <v>SF</v>
      </c>
      <c r="Y105" s="107">
        <f t="shared" si="5"/>
        <v>0</v>
      </c>
      <c r="AA105" s="105" t="str">
        <f>$B$33</f>
        <v>Floor Finish @ Closet</v>
      </c>
      <c r="AB105" s="106">
        <v>0</v>
      </c>
      <c r="AC105" s="107" t="str">
        <f>$D$33</f>
        <v>SF</v>
      </c>
      <c r="AD105" s="107">
        <f t="shared" si="6"/>
        <v>0</v>
      </c>
      <c r="CI105" s="76"/>
      <c r="CJ105" s="76"/>
      <c r="CK105" s="76"/>
      <c r="CL105" s="76"/>
      <c r="CM105" s="76"/>
      <c r="CN105" s="76"/>
      <c r="CO105" s="76"/>
      <c r="CP105" s="76"/>
      <c r="CQ105" s="76"/>
      <c r="CR105" s="76"/>
      <c r="CS105" s="76"/>
    </row>
    <row r="106" spans="2:97" s="72" customFormat="1">
      <c r="B106" s="105" t="str">
        <f>$B$35</f>
        <v>Floor Finish @ Hall</v>
      </c>
      <c r="C106" s="106">
        <f t="shared" si="1"/>
        <v>0</v>
      </c>
      <c r="D106" s="107" t="str">
        <f>$D$35</f>
        <v>SF</v>
      </c>
      <c r="G106" s="105" t="str">
        <f>$B$35</f>
        <v>Floor Finish @ Hall</v>
      </c>
      <c r="H106" s="106">
        <v>0</v>
      </c>
      <c r="I106" s="107" t="str">
        <f>$D$35</f>
        <v>SF</v>
      </c>
      <c r="J106" s="107">
        <f t="shared" si="2"/>
        <v>0</v>
      </c>
      <c r="L106" s="105" t="str">
        <f>$B$35</f>
        <v>Floor Finish @ Hall</v>
      </c>
      <c r="M106" s="106">
        <v>0</v>
      </c>
      <c r="N106" s="107" t="str">
        <f>$D$35</f>
        <v>SF</v>
      </c>
      <c r="O106" s="107">
        <f t="shared" si="3"/>
        <v>0</v>
      </c>
      <c r="Q106" s="105" t="str">
        <f>$B$35</f>
        <v>Floor Finish @ Hall</v>
      </c>
      <c r="R106" s="106">
        <v>0</v>
      </c>
      <c r="S106" s="107" t="str">
        <f>$D$35</f>
        <v>SF</v>
      </c>
      <c r="T106" s="107">
        <f t="shared" si="4"/>
        <v>0</v>
      </c>
      <c r="V106" s="105" t="str">
        <f>$B$35</f>
        <v>Floor Finish @ Hall</v>
      </c>
      <c r="W106" s="106">
        <v>0</v>
      </c>
      <c r="X106" s="107" t="str">
        <f>$D$35</f>
        <v>SF</v>
      </c>
      <c r="Y106" s="107">
        <f t="shared" si="5"/>
        <v>0</v>
      </c>
      <c r="AA106" s="105" t="str">
        <f>$B$35</f>
        <v>Floor Finish @ Hall</v>
      </c>
      <c r="AB106" s="106">
        <v>0</v>
      </c>
      <c r="AC106" s="107" t="str">
        <f>$D$35</f>
        <v>SF</v>
      </c>
      <c r="AD106" s="107">
        <f t="shared" si="6"/>
        <v>0</v>
      </c>
      <c r="CI106" s="76"/>
      <c r="CJ106" s="76"/>
      <c r="CK106" s="76"/>
      <c r="CL106" s="76"/>
      <c r="CM106" s="76"/>
      <c r="CN106" s="76"/>
      <c r="CO106" s="76"/>
      <c r="CP106" s="76"/>
      <c r="CQ106" s="76"/>
      <c r="CR106" s="76"/>
      <c r="CS106" s="76"/>
    </row>
    <row r="107" spans="2:97" s="72" customFormat="1">
      <c r="B107" s="105" t="str">
        <f>$B$37</f>
        <v>Floor Finish @ Shower</v>
      </c>
      <c r="C107" s="106">
        <f t="shared" si="1"/>
        <v>0</v>
      </c>
      <c r="D107" s="107" t="str">
        <f>$D$37</f>
        <v>SF</v>
      </c>
      <c r="G107" s="105" t="str">
        <f>$B$37</f>
        <v>Floor Finish @ Shower</v>
      </c>
      <c r="H107" s="106">
        <v>0</v>
      </c>
      <c r="I107" s="107" t="str">
        <f>$D$37</f>
        <v>SF</v>
      </c>
      <c r="J107" s="107">
        <f t="shared" si="2"/>
        <v>0</v>
      </c>
      <c r="L107" s="105" t="str">
        <f>$B$37</f>
        <v>Floor Finish @ Shower</v>
      </c>
      <c r="M107" s="106">
        <v>0</v>
      </c>
      <c r="N107" s="107" t="str">
        <f>$D$37</f>
        <v>SF</v>
      </c>
      <c r="O107" s="107">
        <f t="shared" si="3"/>
        <v>0</v>
      </c>
      <c r="Q107" s="105" t="str">
        <f>$B$37</f>
        <v>Floor Finish @ Shower</v>
      </c>
      <c r="R107" s="106">
        <v>0</v>
      </c>
      <c r="S107" s="107" t="str">
        <f>$D$37</f>
        <v>SF</v>
      </c>
      <c r="T107" s="107">
        <f t="shared" si="4"/>
        <v>0</v>
      </c>
      <c r="V107" s="105" t="str">
        <f>$B$37</f>
        <v>Floor Finish @ Shower</v>
      </c>
      <c r="W107" s="106">
        <v>0</v>
      </c>
      <c r="X107" s="107" t="str">
        <f>$D$37</f>
        <v>SF</v>
      </c>
      <c r="Y107" s="107">
        <f t="shared" si="5"/>
        <v>0</v>
      </c>
      <c r="AA107" s="105" t="str">
        <f>$B$37</f>
        <v>Floor Finish @ Shower</v>
      </c>
      <c r="AB107" s="106">
        <v>0</v>
      </c>
      <c r="AC107" s="107" t="str">
        <f>$D$37</f>
        <v>SF</v>
      </c>
      <c r="AD107" s="107">
        <f t="shared" si="6"/>
        <v>0</v>
      </c>
      <c r="CI107" s="76"/>
      <c r="CJ107" s="76"/>
      <c r="CK107" s="76"/>
      <c r="CL107" s="76"/>
      <c r="CM107" s="76"/>
      <c r="CN107" s="76"/>
      <c r="CO107" s="76"/>
      <c r="CP107" s="76"/>
      <c r="CQ107" s="76"/>
      <c r="CR107" s="76"/>
      <c r="CS107" s="76"/>
    </row>
    <row r="108" spans="2:97" s="72" customFormat="1">
      <c r="B108" s="105" t="str">
        <f>$B$41</f>
        <v>Wall Base</v>
      </c>
      <c r="C108" s="106">
        <f t="shared" si="1"/>
        <v>981</v>
      </c>
      <c r="D108" s="107" t="str">
        <f>$D$41</f>
        <v>LF</v>
      </c>
      <c r="G108" s="105" t="str">
        <f>$B$41</f>
        <v>Wall Base</v>
      </c>
      <c r="H108" s="106">
        <v>122.02670000000001</v>
      </c>
      <c r="I108" s="107" t="str">
        <f>$D$41</f>
        <v>LF</v>
      </c>
      <c r="J108" s="107">
        <f t="shared" si="2"/>
        <v>123</v>
      </c>
      <c r="L108" s="105" t="str">
        <f>$B$41</f>
        <v>Wall Base</v>
      </c>
      <c r="M108" s="106">
        <v>122.02670000000001</v>
      </c>
      <c r="N108" s="107" t="str">
        <f>$D$41</f>
        <v>LF</v>
      </c>
      <c r="O108" s="107">
        <f t="shared" si="3"/>
        <v>245</v>
      </c>
      <c r="Q108" s="105" t="str">
        <f>$B$41</f>
        <v>Wall Base</v>
      </c>
      <c r="R108" s="106">
        <v>122.02670000000001</v>
      </c>
      <c r="S108" s="107" t="str">
        <f>$D$41</f>
        <v>LF</v>
      </c>
      <c r="T108" s="107">
        <f t="shared" si="4"/>
        <v>245</v>
      </c>
      <c r="V108" s="105" t="str">
        <f>$B$41</f>
        <v>Wall Base</v>
      </c>
      <c r="W108" s="106">
        <v>122.02670000000001</v>
      </c>
      <c r="X108" s="107" t="str">
        <f>$D$41</f>
        <v>LF</v>
      </c>
      <c r="Y108" s="107">
        <f t="shared" si="5"/>
        <v>245</v>
      </c>
      <c r="AA108" s="105" t="str">
        <f>$B$41</f>
        <v>Wall Base</v>
      </c>
      <c r="AB108" s="106">
        <v>122.02670000000001</v>
      </c>
      <c r="AC108" s="107" t="str">
        <f>$D$41</f>
        <v>LF</v>
      </c>
      <c r="AD108" s="107">
        <f t="shared" si="6"/>
        <v>123</v>
      </c>
      <c r="CI108" s="76"/>
      <c r="CJ108" s="76"/>
      <c r="CK108" s="76"/>
      <c r="CL108" s="76"/>
      <c r="CM108" s="76"/>
      <c r="CN108" s="76"/>
      <c r="CO108" s="76"/>
      <c r="CP108" s="76"/>
      <c r="CQ108" s="76"/>
      <c r="CR108" s="76"/>
      <c r="CS108" s="76"/>
    </row>
    <row r="109" spans="2:97" s="72" customFormat="1">
      <c r="B109" s="105" t="str">
        <f>$B$45</f>
        <v>Wall Tile @ Bathroom @ Ht. 9'0" (Assumed)</v>
      </c>
      <c r="C109" s="106">
        <f t="shared" si="1"/>
        <v>0</v>
      </c>
      <c r="D109" s="107" t="str">
        <f>$D$45</f>
        <v>LF</v>
      </c>
      <c r="G109" s="105" t="str">
        <f>$B$45</f>
        <v>Wall Tile @ Bathroom @ Ht. 9'0" (Assumed)</v>
      </c>
      <c r="H109" s="106">
        <v>0</v>
      </c>
      <c r="I109" s="107" t="str">
        <f>$D$45</f>
        <v>LF</v>
      </c>
      <c r="J109" s="107">
        <f t="shared" si="2"/>
        <v>0</v>
      </c>
      <c r="L109" s="105" t="str">
        <f>$B$45</f>
        <v>Wall Tile @ Bathroom @ Ht. 9'0" (Assumed)</v>
      </c>
      <c r="M109" s="106">
        <v>0</v>
      </c>
      <c r="N109" s="107" t="str">
        <f>$D$45</f>
        <v>LF</v>
      </c>
      <c r="O109" s="107">
        <f t="shared" si="3"/>
        <v>0</v>
      </c>
      <c r="Q109" s="105" t="str">
        <f>$B$45</f>
        <v>Wall Tile @ Bathroom @ Ht. 9'0" (Assumed)</v>
      </c>
      <c r="R109" s="106">
        <v>0</v>
      </c>
      <c r="S109" s="107" t="str">
        <f>$D$45</f>
        <v>LF</v>
      </c>
      <c r="T109" s="107">
        <f t="shared" si="4"/>
        <v>0</v>
      </c>
      <c r="V109" s="105" t="str">
        <f>$B$45</f>
        <v>Wall Tile @ Bathroom @ Ht. 9'0" (Assumed)</v>
      </c>
      <c r="W109" s="106">
        <v>0</v>
      </c>
      <c r="X109" s="107" t="str">
        <f>$D$45</f>
        <v>LF</v>
      </c>
      <c r="Y109" s="107">
        <f t="shared" si="5"/>
        <v>0</v>
      </c>
      <c r="AA109" s="105" t="str">
        <f>$B$45</f>
        <v>Wall Tile @ Bathroom @ Ht. 9'0" (Assumed)</v>
      </c>
      <c r="AB109" s="106">
        <v>0</v>
      </c>
      <c r="AC109" s="107" t="str">
        <f>$D$45</f>
        <v>LF</v>
      </c>
      <c r="AD109" s="107">
        <f t="shared" si="6"/>
        <v>0</v>
      </c>
      <c r="CI109" s="76"/>
      <c r="CJ109" s="76"/>
      <c r="CK109" s="76"/>
      <c r="CL109" s="76"/>
      <c r="CM109" s="76"/>
      <c r="CN109" s="76"/>
      <c r="CO109" s="76"/>
      <c r="CP109" s="76"/>
      <c r="CQ109" s="76"/>
      <c r="CR109" s="76"/>
      <c r="CS109" s="76"/>
    </row>
    <row r="110" spans="2:97" s="72" customFormat="1">
      <c r="B110" s="105" t="str">
        <f>$B$50</f>
        <v>Shower Enclosure Door W/ Partition</v>
      </c>
      <c r="C110" s="106">
        <f t="shared" si="1"/>
        <v>8</v>
      </c>
      <c r="D110" s="107" t="str">
        <f>$D$50</f>
        <v>EA</v>
      </c>
      <c r="G110" s="105" t="str">
        <f>$B$50</f>
        <v>Shower Enclosure Door W/ Partition</v>
      </c>
      <c r="H110" s="106">
        <v>1</v>
      </c>
      <c r="I110" s="107" t="str">
        <f>$D$50</f>
        <v>EA</v>
      </c>
      <c r="J110" s="107">
        <f t="shared" si="2"/>
        <v>1</v>
      </c>
      <c r="L110" s="105" t="str">
        <f>$B$50</f>
        <v>Shower Enclosure Door W/ Partition</v>
      </c>
      <c r="M110" s="106">
        <v>1</v>
      </c>
      <c r="N110" s="107" t="str">
        <f>$D$50</f>
        <v>EA</v>
      </c>
      <c r="O110" s="107">
        <f t="shared" si="3"/>
        <v>2</v>
      </c>
      <c r="Q110" s="105" t="str">
        <f>$B$50</f>
        <v>Shower Enclosure Door W/ Partition</v>
      </c>
      <c r="R110" s="106">
        <v>1</v>
      </c>
      <c r="S110" s="107" t="str">
        <f>$D$50</f>
        <v>EA</v>
      </c>
      <c r="T110" s="107">
        <f t="shared" si="4"/>
        <v>2</v>
      </c>
      <c r="V110" s="105" t="str">
        <f>$B$50</f>
        <v>Shower Enclosure Door W/ Partition</v>
      </c>
      <c r="W110" s="106">
        <v>1</v>
      </c>
      <c r="X110" s="107" t="str">
        <f>$D$50</f>
        <v>EA</v>
      </c>
      <c r="Y110" s="107">
        <f t="shared" si="5"/>
        <v>2</v>
      </c>
      <c r="AA110" s="105" t="str">
        <f>$B$50</f>
        <v>Shower Enclosure Door W/ Partition</v>
      </c>
      <c r="AB110" s="106">
        <v>1</v>
      </c>
      <c r="AC110" s="107" t="str">
        <f>$D$50</f>
        <v>EA</v>
      </c>
      <c r="AD110" s="107">
        <f t="shared" si="6"/>
        <v>1</v>
      </c>
      <c r="CI110" s="76"/>
      <c r="CJ110" s="76"/>
      <c r="CK110" s="76"/>
      <c r="CL110" s="76"/>
      <c r="CM110" s="76"/>
      <c r="CN110" s="76"/>
      <c r="CO110" s="76"/>
      <c r="CP110" s="76"/>
      <c r="CQ110" s="76"/>
      <c r="CR110" s="76"/>
      <c r="CS110" s="76"/>
    </row>
    <row r="111" spans="2:97" s="72" customFormat="1">
      <c r="B111" s="105" t="str">
        <f>$B$52</f>
        <v>Lavatory</v>
      </c>
      <c r="C111" s="106">
        <f t="shared" si="1"/>
        <v>8</v>
      </c>
      <c r="D111" s="107" t="str">
        <f>$D$52</f>
        <v>EA</v>
      </c>
      <c r="G111" s="105" t="str">
        <f>$B$52</f>
        <v>Lavatory</v>
      </c>
      <c r="H111" s="106">
        <v>1</v>
      </c>
      <c r="I111" s="107" t="str">
        <f>$D$52</f>
        <v>EA</v>
      </c>
      <c r="J111" s="107">
        <f t="shared" si="2"/>
        <v>1</v>
      </c>
      <c r="L111" s="105" t="str">
        <f>$B$52</f>
        <v>Lavatory</v>
      </c>
      <c r="M111" s="106">
        <v>1</v>
      </c>
      <c r="N111" s="107" t="str">
        <f>$D$52</f>
        <v>EA</v>
      </c>
      <c r="O111" s="107">
        <f t="shared" si="3"/>
        <v>2</v>
      </c>
      <c r="Q111" s="105" t="str">
        <f>$B$52</f>
        <v>Lavatory</v>
      </c>
      <c r="R111" s="106">
        <v>1</v>
      </c>
      <c r="S111" s="107" t="str">
        <f>$D$52</f>
        <v>EA</v>
      </c>
      <c r="T111" s="107">
        <f t="shared" si="4"/>
        <v>2</v>
      </c>
      <c r="V111" s="105" t="str">
        <f>$B$52</f>
        <v>Lavatory</v>
      </c>
      <c r="W111" s="106">
        <v>1</v>
      </c>
      <c r="X111" s="107" t="str">
        <f>$D$52</f>
        <v>EA</v>
      </c>
      <c r="Y111" s="107">
        <f t="shared" si="5"/>
        <v>2</v>
      </c>
      <c r="AA111" s="105" t="str">
        <f>$B$52</f>
        <v>Lavatory</v>
      </c>
      <c r="AB111" s="106">
        <v>1</v>
      </c>
      <c r="AC111" s="107" t="str">
        <f>$D$52</f>
        <v>EA</v>
      </c>
      <c r="AD111" s="107">
        <f t="shared" si="6"/>
        <v>1</v>
      </c>
      <c r="CI111" s="76"/>
      <c r="CJ111" s="76"/>
      <c r="CK111" s="76"/>
      <c r="CL111" s="76"/>
      <c r="CM111" s="76"/>
      <c r="CN111" s="76"/>
      <c r="CO111" s="76"/>
      <c r="CP111" s="76"/>
      <c r="CQ111" s="76"/>
      <c r="CR111" s="76"/>
      <c r="CS111" s="76"/>
    </row>
    <row r="112" spans="2:97" s="72" customFormat="1">
      <c r="B112" s="105" t="str">
        <f>$B$54</f>
        <v>Shower</v>
      </c>
      <c r="C112" s="106">
        <f t="shared" si="1"/>
        <v>8</v>
      </c>
      <c r="D112" s="107" t="str">
        <f>$D$54</f>
        <v>EA</v>
      </c>
      <c r="G112" s="105" t="str">
        <f>$B$54</f>
        <v>Shower</v>
      </c>
      <c r="H112" s="106">
        <v>1</v>
      </c>
      <c r="I112" s="107" t="str">
        <f>$D$54</f>
        <v>EA</v>
      </c>
      <c r="J112" s="107">
        <f t="shared" si="2"/>
        <v>1</v>
      </c>
      <c r="L112" s="105" t="str">
        <f>$B$54</f>
        <v>Shower</v>
      </c>
      <c r="M112" s="106">
        <v>1</v>
      </c>
      <c r="N112" s="107" t="str">
        <f>$D$54</f>
        <v>EA</v>
      </c>
      <c r="O112" s="107">
        <f t="shared" si="3"/>
        <v>2</v>
      </c>
      <c r="Q112" s="105" t="str">
        <f>$B$54</f>
        <v>Shower</v>
      </c>
      <c r="R112" s="106">
        <v>1</v>
      </c>
      <c r="S112" s="107" t="str">
        <f>$D$54</f>
        <v>EA</v>
      </c>
      <c r="T112" s="107">
        <f t="shared" si="4"/>
        <v>2</v>
      </c>
      <c r="V112" s="105" t="str">
        <f>$B$54</f>
        <v>Shower</v>
      </c>
      <c r="W112" s="106">
        <v>1</v>
      </c>
      <c r="X112" s="107" t="str">
        <f>$D$54</f>
        <v>EA</v>
      </c>
      <c r="Y112" s="107">
        <f t="shared" si="5"/>
        <v>2</v>
      </c>
      <c r="AA112" s="105" t="str">
        <f>$B$54</f>
        <v>Shower</v>
      </c>
      <c r="AB112" s="106">
        <v>1</v>
      </c>
      <c r="AC112" s="107" t="str">
        <f>$D$54</f>
        <v>EA</v>
      </c>
      <c r="AD112" s="107">
        <f t="shared" si="6"/>
        <v>1</v>
      </c>
      <c r="CI112" s="76"/>
      <c r="CJ112" s="76"/>
      <c r="CK112" s="76"/>
      <c r="CL112" s="76"/>
      <c r="CM112" s="76"/>
      <c r="CN112" s="76"/>
      <c r="CO112" s="76"/>
      <c r="CP112" s="76"/>
      <c r="CQ112" s="76"/>
      <c r="CR112" s="76"/>
      <c r="CS112" s="76"/>
    </row>
    <row r="113" spans="1:97" s="72" customFormat="1">
      <c r="B113" s="105" t="str">
        <f>$B$56</f>
        <v>Water Closet</v>
      </c>
      <c r="C113" s="106">
        <f t="shared" si="1"/>
        <v>8</v>
      </c>
      <c r="D113" s="107" t="str">
        <f>$D$56</f>
        <v>EA</v>
      </c>
      <c r="G113" s="105" t="str">
        <f>$B$56</f>
        <v>Water Closet</v>
      </c>
      <c r="H113" s="106">
        <v>1</v>
      </c>
      <c r="I113" s="107" t="str">
        <f>$D$56</f>
        <v>EA</v>
      </c>
      <c r="J113" s="107">
        <f t="shared" si="2"/>
        <v>1</v>
      </c>
      <c r="L113" s="105" t="str">
        <f>$B$56</f>
        <v>Water Closet</v>
      </c>
      <c r="M113" s="106">
        <v>1</v>
      </c>
      <c r="N113" s="107" t="str">
        <f>$D$56</f>
        <v>EA</v>
      </c>
      <c r="O113" s="107">
        <f t="shared" si="3"/>
        <v>2</v>
      </c>
      <c r="Q113" s="105" t="str">
        <f>$B$56</f>
        <v>Water Closet</v>
      </c>
      <c r="R113" s="106">
        <v>1</v>
      </c>
      <c r="S113" s="107" t="str">
        <f>$D$56</f>
        <v>EA</v>
      </c>
      <c r="T113" s="107">
        <f t="shared" si="4"/>
        <v>2</v>
      </c>
      <c r="V113" s="105" t="str">
        <f>$B$56</f>
        <v>Water Closet</v>
      </c>
      <c r="W113" s="106">
        <v>1</v>
      </c>
      <c r="X113" s="107" t="str">
        <f>$D$56</f>
        <v>EA</v>
      </c>
      <c r="Y113" s="107">
        <f t="shared" si="5"/>
        <v>2</v>
      </c>
      <c r="AA113" s="105" t="str">
        <f>$B$56</f>
        <v>Water Closet</v>
      </c>
      <c r="AB113" s="106">
        <v>1</v>
      </c>
      <c r="AC113" s="107" t="str">
        <f>$D$56</f>
        <v>EA</v>
      </c>
      <c r="AD113" s="107">
        <f t="shared" si="6"/>
        <v>1</v>
      </c>
      <c r="CI113" s="76"/>
      <c r="CJ113" s="76"/>
      <c r="CK113" s="76"/>
      <c r="CL113" s="76"/>
      <c r="CM113" s="76"/>
      <c r="CN113" s="76"/>
      <c r="CO113" s="76"/>
      <c r="CP113" s="76"/>
      <c r="CQ113" s="76"/>
      <c r="CR113" s="76"/>
      <c r="CS113" s="76"/>
    </row>
    <row r="114" spans="1:97" s="72" customFormat="1">
      <c r="B114" s="105" t="str">
        <f>$B$61</f>
        <v>Chilled Water Concealed Ducted Unit w/ Electric Heat</v>
      </c>
      <c r="C114" s="106">
        <f t="shared" si="1"/>
        <v>8</v>
      </c>
      <c r="D114" s="107" t="str">
        <f>$D$61</f>
        <v>EA</v>
      </c>
      <c r="G114" s="105" t="str">
        <f>$B$61</f>
        <v>Chilled Water Concealed Ducted Unit w/ Electric Heat</v>
      </c>
      <c r="H114" s="106">
        <v>1</v>
      </c>
      <c r="I114" s="107" t="str">
        <f>$D$61</f>
        <v>EA</v>
      </c>
      <c r="J114" s="107">
        <f t="shared" si="2"/>
        <v>1</v>
      </c>
      <c r="L114" s="105" t="str">
        <f>$B$61</f>
        <v>Chilled Water Concealed Ducted Unit w/ Electric Heat</v>
      </c>
      <c r="M114" s="106">
        <v>1</v>
      </c>
      <c r="N114" s="107" t="str">
        <f>$D$61</f>
        <v>EA</v>
      </c>
      <c r="O114" s="107">
        <f t="shared" si="3"/>
        <v>2</v>
      </c>
      <c r="Q114" s="105" t="str">
        <f>$B$61</f>
        <v>Chilled Water Concealed Ducted Unit w/ Electric Heat</v>
      </c>
      <c r="R114" s="106">
        <v>1</v>
      </c>
      <c r="S114" s="107" t="str">
        <f>$D$61</f>
        <v>EA</v>
      </c>
      <c r="T114" s="107">
        <f t="shared" si="4"/>
        <v>2</v>
      </c>
      <c r="V114" s="105" t="str">
        <f>$B$61</f>
        <v>Chilled Water Concealed Ducted Unit w/ Electric Heat</v>
      </c>
      <c r="W114" s="106">
        <v>1</v>
      </c>
      <c r="X114" s="107" t="str">
        <f>$D$61</f>
        <v>EA</v>
      </c>
      <c r="Y114" s="107">
        <f t="shared" si="5"/>
        <v>2</v>
      </c>
      <c r="AA114" s="105" t="str">
        <f>$B$61</f>
        <v>Chilled Water Concealed Ducted Unit w/ Electric Heat</v>
      </c>
      <c r="AB114" s="106">
        <v>1</v>
      </c>
      <c r="AC114" s="107" t="str">
        <f>$D$61</f>
        <v>EA</v>
      </c>
      <c r="AD114" s="107">
        <f t="shared" si="6"/>
        <v>1</v>
      </c>
      <c r="CI114" s="76"/>
      <c r="CJ114" s="76"/>
      <c r="CK114" s="76"/>
      <c r="CL114" s="76"/>
      <c r="CM114" s="76"/>
      <c r="CN114" s="76"/>
      <c r="CO114" s="76"/>
      <c r="CP114" s="76"/>
      <c r="CQ114" s="76"/>
      <c r="CR114" s="76"/>
      <c r="CS114" s="76"/>
    </row>
    <row r="115" spans="1:97" s="72" customFormat="1">
      <c r="B115" s="108" t="str">
        <f>$B$66</f>
        <v>Panel Board</v>
      </c>
      <c r="C115" s="109">
        <f t="shared" si="1"/>
        <v>8</v>
      </c>
      <c r="D115" s="110" t="str">
        <f>$D$66</f>
        <v>EA</v>
      </c>
      <c r="G115" s="108" t="str">
        <f>$B$66</f>
        <v>Panel Board</v>
      </c>
      <c r="H115" s="109">
        <v>1</v>
      </c>
      <c r="I115" s="110" t="str">
        <f>$D$66</f>
        <v>EA</v>
      </c>
      <c r="J115" s="110">
        <f t="shared" si="2"/>
        <v>1</v>
      </c>
      <c r="L115" s="108" t="str">
        <f>$B$66</f>
        <v>Panel Board</v>
      </c>
      <c r="M115" s="109">
        <v>1</v>
      </c>
      <c r="N115" s="110" t="str">
        <f>$D$66</f>
        <v>EA</v>
      </c>
      <c r="O115" s="110">
        <f t="shared" si="3"/>
        <v>2</v>
      </c>
      <c r="Q115" s="108" t="str">
        <f>$B$66</f>
        <v>Panel Board</v>
      </c>
      <c r="R115" s="109">
        <v>1</v>
      </c>
      <c r="S115" s="110" t="str">
        <f>$D$66</f>
        <v>EA</v>
      </c>
      <c r="T115" s="110">
        <f t="shared" si="4"/>
        <v>2</v>
      </c>
      <c r="V115" s="108" t="str">
        <f>$B$66</f>
        <v>Panel Board</v>
      </c>
      <c r="W115" s="109">
        <v>1</v>
      </c>
      <c r="X115" s="110" t="str">
        <f>$D$66</f>
        <v>EA</v>
      </c>
      <c r="Y115" s="110">
        <f t="shared" si="5"/>
        <v>2</v>
      </c>
      <c r="AA115" s="108" t="str">
        <f>$B$66</f>
        <v>Panel Board</v>
      </c>
      <c r="AB115" s="109">
        <v>1</v>
      </c>
      <c r="AC115" s="110" t="str">
        <f>$D$66</f>
        <v>EA</v>
      </c>
      <c r="AD115" s="110">
        <f t="shared" si="6"/>
        <v>1</v>
      </c>
      <c r="CI115" s="76"/>
      <c r="CJ115" s="76"/>
      <c r="CK115" s="76"/>
      <c r="CL115" s="76"/>
      <c r="CM115" s="76"/>
      <c r="CN115" s="76"/>
      <c r="CO115" s="76"/>
      <c r="CP115" s="76"/>
      <c r="CQ115" s="76"/>
      <c r="CR115" s="76"/>
      <c r="CS115" s="76"/>
    </row>
    <row r="116" spans="1:97" s="72" customFormat="1"/>
    <row r="117" spans="1:97" s="72" customFormat="1"/>
    <row r="118" spans="1:97" s="75" customFormat="1" ht="15.75">
      <c r="A118" s="74"/>
      <c r="B118" s="111" t="s">
        <v>70</v>
      </c>
      <c r="C118" s="112">
        <f>H118+M118+R118+W118+AB118</f>
        <v>5</v>
      </c>
      <c r="D118" s="113"/>
      <c r="E118" s="74"/>
      <c r="F118" s="74"/>
      <c r="G118" s="114" t="s">
        <v>65</v>
      </c>
      <c r="H118" s="115">
        <v>1</v>
      </c>
      <c r="I118" s="115" t="s">
        <v>25</v>
      </c>
      <c r="J118" s="120"/>
      <c r="K118" s="74"/>
      <c r="L118" s="114" t="s">
        <v>66</v>
      </c>
      <c r="M118" s="115">
        <v>1</v>
      </c>
      <c r="N118" s="115" t="s">
        <v>25</v>
      </c>
      <c r="O118" s="120"/>
      <c r="P118" s="74"/>
      <c r="Q118" s="114" t="s">
        <v>67</v>
      </c>
      <c r="R118" s="115">
        <v>1</v>
      </c>
      <c r="S118" s="115" t="s">
        <v>25</v>
      </c>
      <c r="T118" s="120"/>
      <c r="U118" s="74"/>
      <c r="V118" s="114" t="s">
        <v>68</v>
      </c>
      <c r="W118" s="115">
        <v>1</v>
      </c>
      <c r="X118" s="115" t="s">
        <v>25</v>
      </c>
      <c r="Y118" s="120"/>
      <c r="Z118" s="74"/>
      <c r="AA118" s="114" t="s">
        <v>69</v>
      </c>
      <c r="AB118" s="115">
        <v>1</v>
      </c>
      <c r="AC118" s="115" t="s">
        <v>25</v>
      </c>
      <c r="AD118" s="120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  <c r="AX118" s="74"/>
      <c r="AY118" s="74"/>
      <c r="AZ118" s="74"/>
      <c r="BA118" s="74"/>
      <c r="BB118" s="74"/>
      <c r="BC118" s="74"/>
      <c r="BD118" s="74"/>
      <c r="BE118" s="74"/>
      <c r="BF118" s="74"/>
      <c r="BG118" s="74"/>
      <c r="BH118" s="74"/>
      <c r="BI118" s="74"/>
      <c r="BJ118" s="74"/>
      <c r="BK118" s="74"/>
      <c r="BL118" s="74"/>
      <c r="BM118" s="74"/>
      <c r="BN118" s="74"/>
      <c r="BO118" s="74"/>
      <c r="BP118" s="74"/>
      <c r="BQ118" s="74"/>
      <c r="BR118" s="74"/>
      <c r="BS118" s="74"/>
      <c r="BT118" s="74"/>
      <c r="BU118" s="74"/>
      <c r="BV118" s="74"/>
      <c r="BW118" s="74"/>
      <c r="BX118" s="74"/>
      <c r="BY118" s="74"/>
      <c r="BZ118" s="74"/>
      <c r="CA118" s="74"/>
      <c r="CB118" s="74"/>
      <c r="CC118" s="74"/>
      <c r="CD118" s="74"/>
      <c r="CE118" s="74"/>
      <c r="CF118" s="74"/>
      <c r="CG118" s="74"/>
      <c r="CH118" s="74"/>
    </row>
    <row r="119" spans="1:97" s="75" customFormat="1" ht="15.75">
      <c r="A119" s="74"/>
      <c r="B119" s="116"/>
      <c r="C119" s="117"/>
      <c r="D119" s="118"/>
      <c r="E119" s="74"/>
      <c r="F119" s="74"/>
      <c r="G119" s="116"/>
      <c r="H119" s="119"/>
      <c r="I119" s="121"/>
      <c r="J119" s="121"/>
      <c r="K119" s="74"/>
      <c r="L119" s="116"/>
      <c r="M119" s="119"/>
      <c r="N119" s="121"/>
      <c r="O119" s="121"/>
      <c r="P119" s="74"/>
      <c r="Q119" s="116"/>
      <c r="R119" s="119"/>
      <c r="S119" s="121"/>
      <c r="T119" s="121"/>
      <c r="U119" s="74"/>
      <c r="V119" s="116"/>
      <c r="W119" s="119"/>
      <c r="X119" s="121"/>
      <c r="Y119" s="121"/>
      <c r="Z119" s="74"/>
      <c r="AA119" s="116"/>
      <c r="AB119" s="119"/>
      <c r="AC119" s="121"/>
      <c r="AD119" s="121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  <c r="AX119" s="74"/>
      <c r="AY119" s="74"/>
      <c r="AZ119" s="74"/>
      <c r="BA119" s="74"/>
      <c r="BB119" s="74"/>
      <c r="BC119" s="74"/>
      <c r="BD119" s="74"/>
      <c r="BE119" s="74"/>
      <c r="BF119" s="74"/>
      <c r="BG119" s="74"/>
      <c r="BH119" s="74"/>
      <c r="BI119" s="74"/>
      <c r="BJ119" s="74"/>
      <c r="BK119" s="74"/>
      <c r="BL119" s="74"/>
      <c r="BM119" s="74"/>
      <c r="BN119" s="74"/>
      <c r="BO119" s="74"/>
      <c r="BP119" s="74"/>
      <c r="BQ119" s="74"/>
      <c r="BR119" s="74"/>
      <c r="BS119" s="74"/>
      <c r="BT119" s="74"/>
      <c r="BU119" s="74"/>
      <c r="BV119" s="74"/>
      <c r="BW119" s="74"/>
      <c r="BX119" s="74"/>
      <c r="BY119" s="74"/>
      <c r="BZ119" s="74"/>
      <c r="CA119" s="74"/>
      <c r="CB119" s="74"/>
      <c r="CC119" s="74"/>
      <c r="CD119" s="74"/>
      <c r="CE119" s="74"/>
      <c r="CF119" s="74"/>
      <c r="CG119" s="74"/>
      <c r="CH119" s="74"/>
    </row>
    <row r="120" spans="1:97">
      <c r="B120" s="102" t="str">
        <f>$B$7</f>
        <v>1 Bed / 1 Bath</v>
      </c>
      <c r="C120" s="103">
        <f t="shared" ref="C120:C139" si="7">AD120+Y120+T120+O120+J120</f>
        <v>5</v>
      </c>
      <c r="D120" s="104" t="str">
        <f>$D$7</f>
        <v>EA</v>
      </c>
      <c r="G120" s="102" t="str">
        <f>$B$7</f>
        <v>1 Bed / 1 Bath</v>
      </c>
      <c r="H120" s="103">
        <v>1</v>
      </c>
      <c r="I120" s="104" t="str">
        <f>$D$7</f>
        <v>EA</v>
      </c>
      <c r="J120" s="104">
        <f t="shared" ref="J120:J139" si="8">ROUNDUP(H120*$H$118,0)</f>
        <v>1</v>
      </c>
      <c r="L120" s="102" t="str">
        <f>$B$7</f>
        <v>1 Bed / 1 Bath</v>
      </c>
      <c r="M120" s="103">
        <v>1</v>
      </c>
      <c r="N120" s="104" t="str">
        <f>$D$7</f>
        <v>EA</v>
      </c>
      <c r="O120" s="104">
        <f t="shared" ref="O120:O139" si="9">ROUNDUP(M120*$M$118,0)</f>
        <v>1</v>
      </c>
      <c r="Q120" s="102" t="str">
        <f>$B$7</f>
        <v>1 Bed / 1 Bath</v>
      </c>
      <c r="R120" s="103">
        <v>1</v>
      </c>
      <c r="S120" s="104" t="str">
        <f>$D$7</f>
        <v>EA</v>
      </c>
      <c r="T120" s="104">
        <f t="shared" ref="T120:T139" si="10">ROUNDUP(R120*$R$118,0)</f>
        <v>1</v>
      </c>
      <c r="V120" s="102" t="str">
        <f>$B$7</f>
        <v>1 Bed / 1 Bath</v>
      </c>
      <c r="W120" s="103">
        <v>1</v>
      </c>
      <c r="X120" s="104" t="str">
        <f>$D$7</f>
        <v>EA</v>
      </c>
      <c r="Y120" s="104">
        <f t="shared" ref="Y120:Y139" si="11">ROUNDUP(W120*$W$118,0)</f>
        <v>1</v>
      </c>
      <c r="AA120" s="102" t="str">
        <f>$B$7</f>
        <v>1 Bed / 1 Bath</v>
      </c>
      <c r="AB120" s="103">
        <v>1</v>
      </c>
      <c r="AC120" s="104" t="str">
        <f>$D$7</f>
        <v>EA</v>
      </c>
      <c r="AD120" s="104">
        <f t="shared" ref="AD120:AD139" si="12">ROUNDUP(AB120*$AB$118,0)</f>
        <v>1</v>
      </c>
    </row>
    <row r="121" spans="1:97">
      <c r="B121" s="105" t="str">
        <f>$B$12</f>
        <v>Double Panel Entry Door</v>
      </c>
      <c r="C121" s="106">
        <f t="shared" si="7"/>
        <v>0</v>
      </c>
      <c r="D121" s="107" t="str">
        <f>$D$12</f>
        <v>EA</v>
      </c>
      <c r="G121" s="105" t="str">
        <f>$B$12</f>
        <v>Double Panel Entry Door</v>
      </c>
      <c r="H121" s="106">
        <v>0</v>
      </c>
      <c r="I121" s="107" t="str">
        <f>$D$12</f>
        <v>EA</v>
      </c>
      <c r="J121" s="107">
        <f t="shared" si="8"/>
        <v>0</v>
      </c>
      <c r="L121" s="105" t="str">
        <f>$B$12</f>
        <v>Double Panel Entry Door</v>
      </c>
      <c r="M121" s="106">
        <v>0</v>
      </c>
      <c r="N121" s="107" t="str">
        <f>$D$12</f>
        <v>EA</v>
      </c>
      <c r="O121" s="107">
        <f t="shared" si="9"/>
        <v>0</v>
      </c>
      <c r="Q121" s="105" t="str">
        <f>$B$12</f>
        <v>Double Panel Entry Door</v>
      </c>
      <c r="R121" s="106">
        <v>0</v>
      </c>
      <c r="S121" s="107" t="str">
        <f>$D$12</f>
        <v>EA</v>
      </c>
      <c r="T121" s="107">
        <f t="shared" si="10"/>
        <v>0</v>
      </c>
      <c r="V121" s="105" t="str">
        <f>$B$12</f>
        <v>Double Panel Entry Door</v>
      </c>
      <c r="W121" s="106">
        <v>0</v>
      </c>
      <c r="X121" s="107" t="str">
        <f>$D$12</f>
        <v>EA</v>
      </c>
      <c r="Y121" s="107">
        <f t="shared" si="11"/>
        <v>0</v>
      </c>
      <c r="AA121" s="105" t="str">
        <f>$B$12</f>
        <v>Double Panel Entry Door</v>
      </c>
      <c r="AB121" s="106">
        <v>0</v>
      </c>
      <c r="AC121" s="107" t="str">
        <f>$D$12</f>
        <v>EA</v>
      </c>
      <c r="AD121" s="107">
        <f t="shared" si="12"/>
        <v>0</v>
      </c>
    </row>
    <row r="122" spans="1:97">
      <c r="B122" s="105" t="str">
        <f>$B$14</f>
        <v>Double Panel Interior Door</v>
      </c>
      <c r="C122" s="106">
        <f t="shared" si="7"/>
        <v>0</v>
      </c>
      <c r="D122" s="107" t="str">
        <f>$D$14</f>
        <v>EA</v>
      </c>
      <c r="G122" s="105" t="str">
        <f>$B$14</f>
        <v>Double Panel Interior Door</v>
      </c>
      <c r="H122" s="106">
        <v>0</v>
      </c>
      <c r="I122" s="107" t="str">
        <f>$D$14</f>
        <v>EA</v>
      </c>
      <c r="J122" s="107">
        <f t="shared" si="8"/>
        <v>0</v>
      </c>
      <c r="L122" s="105" t="str">
        <f>$B$14</f>
        <v>Double Panel Interior Door</v>
      </c>
      <c r="M122" s="106">
        <v>0</v>
      </c>
      <c r="N122" s="107" t="str">
        <f>$D$14</f>
        <v>EA</v>
      </c>
      <c r="O122" s="107">
        <f t="shared" si="9"/>
        <v>0</v>
      </c>
      <c r="Q122" s="105" t="str">
        <f>$B$14</f>
        <v>Double Panel Interior Door</v>
      </c>
      <c r="R122" s="106">
        <v>0</v>
      </c>
      <c r="S122" s="107" t="str">
        <f>$D$14</f>
        <v>EA</v>
      </c>
      <c r="T122" s="107">
        <f t="shared" si="10"/>
        <v>0</v>
      </c>
      <c r="V122" s="105" t="str">
        <f>$B$14</f>
        <v>Double Panel Interior Door</v>
      </c>
      <c r="W122" s="106">
        <v>0</v>
      </c>
      <c r="X122" s="107" t="str">
        <f>$D$14</f>
        <v>EA</v>
      </c>
      <c r="Y122" s="107">
        <f t="shared" si="11"/>
        <v>0</v>
      </c>
      <c r="AA122" s="105" t="str">
        <f>$B$14</f>
        <v>Double Panel Interior Door</v>
      </c>
      <c r="AB122" s="106">
        <v>0</v>
      </c>
      <c r="AC122" s="107" t="str">
        <f>$D$14</f>
        <v>EA</v>
      </c>
      <c r="AD122" s="107">
        <f t="shared" si="12"/>
        <v>0</v>
      </c>
    </row>
    <row r="123" spans="1:97">
      <c r="B123" s="105" t="str">
        <f>$B$16</f>
        <v>Single Panel Balcony Door</v>
      </c>
      <c r="C123" s="106">
        <f t="shared" si="7"/>
        <v>0</v>
      </c>
      <c r="D123" s="107" t="str">
        <f>$D$16</f>
        <v>EA</v>
      </c>
      <c r="G123" s="105" t="str">
        <f>$B$16</f>
        <v>Single Panel Balcony Door</v>
      </c>
      <c r="H123" s="106">
        <v>0</v>
      </c>
      <c r="I123" s="107" t="str">
        <f>$D$16</f>
        <v>EA</v>
      </c>
      <c r="J123" s="107">
        <f t="shared" si="8"/>
        <v>0</v>
      </c>
      <c r="L123" s="105" t="str">
        <f>$B$16</f>
        <v>Single Panel Balcony Door</v>
      </c>
      <c r="M123" s="106">
        <v>0</v>
      </c>
      <c r="N123" s="107" t="str">
        <f>$D$16</f>
        <v>EA</v>
      </c>
      <c r="O123" s="107">
        <f t="shared" si="9"/>
        <v>0</v>
      </c>
      <c r="Q123" s="105" t="str">
        <f>$B$16</f>
        <v>Single Panel Balcony Door</v>
      </c>
      <c r="R123" s="106">
        <v>0</v>
      </c>
      <c r="S123" s="107" t="str">
        <f>$D$16</f>
        <v>EA</v>
      </c>
      <c r="T123" s="107">
        <f t="shared" si="10"/>
        <v>0</v>
      </c>
      <c r="V123" s="105" t="str">
        <f>$B$16</f>
        <v>Single Panel Balcony Door</v>
      </c>
      <c r="W123" s="106">
        <v>0</v>
      </c>
      <c r="X123" s="107" t="str">
        <f>$D$16</f>
        <v>EA</v>
      </c>
      <c r="Y123" s="107">
        <f t="shared" si="11"/>
        <v>0</v>
      </c>
      <c r="AA123" s="105" t="str">
        <f>$B$16</f>
        <v>Single Panel Balcony Door</v>
      </c>
      <c r="AB123" s="106">
        <v>0</v>
      </c>
      <c r="AC123" s="107" t="str">
        <f>$D$16</f>
        <v>EA</v>
      </c>
      <c r="AD123" s="107">
        <f t="shared" si="12"/>
        <v>0</v>
      </c>
    </row>
    <row r="124" spans="1:97" s="72" customFormat="1">
      <c r="B124" s="105" t="str">
        <f>$B$18</f>
        <v>Single Panel Entry Door</v>
      </c>
      <c r="C124" s="106">
        <f t="shared" si="7"/>
        <v>5</v>
      </c>
      <c r="D124" s="107" t="str">
        <f>$D$18</f>
        <v>EA</v>
      </c>
      <c r="G124" s="105" t="str">
        <f>$B$18</f>
        <v>Single Panel Entry Door</v>
      </c>
      <c r="H124" s="106">
        <v>1</v>
      </c>
      <c r="I124" s="107" t="str">
        <f>$D$18</f>
        <v>EA</v>
      </c>
      <c r="J124" s="107">
        <f t="shared" si="8"/>
        <v>1</v>
      </c>
      <c r="L124" s="105" t="str">
        <f>$B$18</f>
        <v>Single Panel Entry Door</v>
      </c>
      <c r="M124" s="106">
        <v>1</v>
      </c>
      <c r="N124" s="107" t="str">
        <f>$D$18</f>
        <v>EA</v>
      </c>
      <c r="O124" s="107">
        <f t="shared" si="9"/>
        <v>1</v>
      </c>
      <c r="Q124" s="105" t="str">
        <f>$B$18</f>
        <v>Single Panel Entry Door</v>
      </c>
      <c r="R124" s="106">
        <v>1</v>
      </c>
      <c r="S124" s="107" t="str">
        <f>$D$18</f>
        <v>EA</v>
      </c>
      <c r="T124" s="107">
        <f t="shared" si="10"/>
        <v>1</v>
      </c>
      <c r="V124" s="105" t="str">
        <f>$B$18</f>
        <v>Single Panel Entry Door</v>
      </c>
      <c r="W124" s="106">
        <v>1</v>
      </c>
      <c r="X124" s="107" t="str">
        <f>$D$18</f>
        <v>EA</v>
      </c>
      <c r="Y124" s="107">
        <f t="shared" si="11"/>
        <v>1</v>
      </c>
      <c r="AA124" s="105" t="str">
        <f>$B$18</f>
        <v>Single Panel Entry Door</v>
      </c>
      <c r="AB124" s="106">
        <v>1</v>
      </c>
      <c r="AC124" s="107" t="str">
        <f>$D$18</f>
        <v>EA</v>
      </c>
      <c r="AD124" s="107">
        <f t="shared" si="12"/>
        <v>1</v>
      </c>
      <c r="CI124" s="76"/>
      <c r="CJ124" s="76"/>
      <c r="CK124" s="76"/>
      <c r="CL124" s="76"/>
      <c r="CM124" s="76"/>
      <c r="CN124" s="76"/>
      <c r="CO124" s="76"/>
      <c r="CP124" s="76"/>
      <c r="CQ124" s="76"/>
      <c r="CR124" s="76"/>
      <c r="CS124" s="76"/>
    </row>
    <row r="125" spans="1:97" s="72" customFormat="1">
      <c r="B125" s="105" t="str">
        <f>$B$20</f>
        <v>Single Panel Interior Door</v>
      </c>
      <c r="C125" s="106">
        <f t="shared" si="7"/>
        <v>5</v>
      </c>
      <c r="D125" s="107" t="str">
        <f>$D$20</f>
        <v>EA</v>
      </c>
      <c r="G125" s="105" t="str">
        <f>$B$20</f>
        <v>Single Panel Interior Door</v>
      </c>
      <c r="H125" s="106">
        <v>1</v>
      </c>
      <c r="I125" s="107" t="str">
        <f>$D$20</f>
        <v>EA</v>
      </c>
      <c r="J125" s="107">
        <f t="shared" si="8"/>
        <v>1</v>
      </c>
      <c r="L125" s="105" t="str">
        <f>$B$20</f>
        <v>Single Panel Interior Door</v>
      </c>
      <c r="M125" s="106">
        <v>1</v>
      </c>
      <c r="N125" s="107" t="str">
        <f>$D$20</f>
        <v>EA</v>
      </c>
      <c r="O125" s="107">
        <f t="shared" si="9"/>
        <v>1</v>
      </c>
      <c r="Q125" s="105" t="str">
        <f>$B$20</f>
        <v>Single Panel Interior Door</v>
      </c>
      <c r="R125" s="106">
        <v>1</v>
      </c>
      <c r="S125" s="107" t="str">
        <f>$D$20</f>
        <v>EA</v>
      </c>
      <c r="T125" s="107">
        <f t="shared" si="10"/>
        <v>1</v>
      </c>
      <c r="V125" s="105" t="str">
        <f>$B$20</f>
        <v>Single Panel Interior Door</v>
      </c>
      <c r="W125" s="106">
        <v>1</v>
      </c>
      <c r="X125" s="107" t="str">
        <f>$D$20</f>
        <v>EA</v>
      </c>
      <c r="Y125" s="107">
        <f t="shared" si="11"/>
        <v>1</v>
      </c>
      <c r="AA125" s="105" t="str">
        <f>$B$20</f>
        <v>Single Panel Interior Door</v>
      </c>
      <c r="AB125" s="106">
        <v>1</v>
      </c>
      <c r="AC125" s="107" t="str">
        <f>$D$20</f>
        <v>EA</v>
      </c>
      <c r="AD125" s="107">
        <f t="shared" si="12"/>
        <v>1</v>
      </c>
      <c r="CI125" s="76"/>
      <c r="CJ125" s="76"/>
      <c r="CK125" s="76"/>
      <c r="CL125" s="76"/>
      <c r="CM125" s="76"/>
      <c r="CN125" s="76"/>
      <c r="CO125" s="76"/>
      <c r="CP125" s="76"/>
      <c r="CQ125" s="76"/>
      <c r="CR125" s="76"/>
      <c r="CS125" s="76"/>
    </row>
    <row r="126" spans="1:97" s="72" customFormat="1">
      <c r="B126" s="105" t="str">
        <f>$B$25</f>
        <v>Skim Coat Gypsum Plaster Ceiling</v>
      </c>
      <c r="C126" s="106">
        <f t="shared" si="7"/>
        <v>2220</v>
      </c>
      <c r="D126" s="107" t="str">
        <f>$D$25</f>
        <v>SF</v>
      </c>
      <c r="G126" s="105" t="str">
        <f>$B$25</f>
        <v>Skim Coat Gypsum Plaster Ceiling</v>
      </c>
      <c r="H126" s="106">
        <v>443.4</v>
      </c>
      <c r="I126" s="107" t="str">
        <f>$D$25</f>
        <v>SF</v>
      </c>
      <c r="J126" s="107">
        <f t="shared" si="8"/>
        <v>444</v>
      </c>
      <c r="L126" s="105" t="str">
        <f>$B$25</f>
        <v>Skim Coat Gypsum Plaster Ceiling</v>
      </c>
      <c r="M126" s="106">
        <v>443.4</v>
      </c>
      <c r="N126" s="107" t="str">
        <f>$D$25</f>
        <v>SF</v>
      </c>
      <c r="O126" s="107">
        <f t="shared" si="9"/>
        <v>444</v>
      </c>
      <c r="Q126" s="105" t="str">
        <f>$B$25</f>
        <v>Skim Coat Gypsum Plaster Ceiling</v>
      </c>
      <c r="R126" s="106">
        <v>443.4</v>
      </c>
      <c r="S126" s="107" t="str">
        <f>$D$25</f>
        <v>SF</v>
      </c>
      <c r="T126" s="107">
        <f t="shared" si="10"/>
        <v>444</v>
      </c>
      <c r="V126" s="105" t="str">
        <f>$B$25</f>
        <v>Skim Coat Gypsum Plaster Ceiling</v>
      </c>
      <c r="W126" s="106">
        <v>443.4</v>
      </c>
      <c r="X126" s="107" t="str">
        <f>$D$25</f>
        <v>SF</v>
      </c>
      <c r="Y126" s="107">
        <f t="shared" si="11"/>
        <v>444</v>
      </c>
      <c r="AA126" s="105" t="str">
        <f>$B$25</f>
        <v>Skim Coat Gypsum Plaster Ceiling</v>
      </c>
      <c r="AB126" s="106">
        <v>443.4</v>
      </c>
      <c r="AC126" s="107" t="str">
        <f>$D$25</f>
        <v>SF</v>
      </c>
      <c r="AD126" s="107">
        <f t="shared" si="12"/>
        <v>444</v>
      </c>
      <c r="CI126" s="76"/>
      <c r="CJ126" s="76"/>
      <c r="CK126" s="76"/>
      <c r="CL126" s="76"/>
      <c r="CM126" s="76"/>
      <c r="CN126" s="76"/>
      <c r="CO126" s="76"/>
      <c r="CP126" s="76"/>
      <c r="CQ126" s="76"/>
      <c r="CR126" s="76"/>
      <c r="CS126" s="76"/>
    </row>
    <row r="127" spans="1:97" s="72" customFormat="1">
      <c r="B127" s="105" t="str">
        <f>$B$29</f>
        <v>Floor Finish @ Bathroom</v>
      </c>
      <c r="C127" s="106">
        <f t="shared" si="7"/>
        <v>545</v>
      </c>
      <c r="D127" s="107" t="str">
        <f>$D$29</f>
        <v>SF</v>
      </c>
      <c r="G127" s="105" t="str">
        <f>$B$29</f>
        <v>Floor Finish @ Bathroom</v>
      </c>
      <c r="H127" s="106">
        <v>108.8</v>
      </c>
      <c r="I127" s="107" t="str">
        <f>$D$29</f>
        <v>SF</v>
      </c>
      <c r="J127" s="107">
        <f t="shared" si="8"/>
        <v>109</v>
      </c>
      <c r="L127" s="105" t="str">
        <f>$B$29</f>
        <v>Floor Finish @ Bathroom</v>
      </c>
      <c r="M127" s="106">
        <v>108.8</v>
      </c>
      <c r="N127" s="107" t="str">
        <f>$D$29</f>
        <v>SF</v>
      </c>
      <c r="O127" s="107">
        <f t="shared" si="9"/>
        <v>109</v>
      </c>
      <c r="Q127" s="105" t="str">
        <f>$B$29</f>
        <v>Floor Finish @ Bathroom</v>
      </c>
      <c r="R127" s="106">
        <v>108.8</v>
      </c>
      <c r="S127" s="107" t="str">
        <f>$D$29</f>
        <v>SF</v>
      </c>
      <c r="T127" s="107">
        <f t="shared" si="10"/>
        <v>109</v>
      </c>
      <c r="V127" s="105" t="str">
        <f>$B$29</f>
        <v>Floor Finish @ Bathroom</v>
      </c>
      <c r="W127" s="106">
        <v>108.8</v>
      </c>
      <c r="X127" s="107" t="str">
        <f>$D$29</f>
        <v>SF</v>
      </c>
      <c r="Y127" s="107">
        <f t="shared" si="11"/>
        <v>109</v>
      </c>
      <c r="AA127" s="105" t="str">
        <f>$B$29</f>
        <v>Floor Finish @ Bathroom</v>
      </c>
      <c r="AB127" s="106">
        <v>108.8</v>
      </c>
      <c r="AC127" s="107" t="str">
        <f>$D$29</f>
        <v>SF</v>
      </c>
      <c r="AD127" s="107">
        <f t="shared" si="12"/>
        <v>109</v>
      </c>
      <c r="CI127" s="76"/>
      <c r="CJ127" s="76"/>
      <c r="CK127" s="76"/>
      <c r="CL127" s="76"/>
      <c r="CM127" s="76"/>
      <c r="CN127" s="76"/>
      <c r="CO127" s="76"/>
      <c r="CP127" s="76"/>
      <c r="CQ127" s="76"/>
      <c r="CR127" s="76"/>
      <c r="CS127" s="76"/>
    </row>
    <row r="128" spans="1:97" s="72" customFormat="1">
      <c r="B128" s="105" t="str">
        <f>$B$31</f>
        <v>Floor Finish @ Bedroom</v>
      </c>
      <c r="C128" s="106">
        <f t="shared" si="7"/>
        <v>1675</v>
      </c>
      <c r="D128" s="107" t="str">
        <f>$D$31</f>
        <v>SF</v>
      </c>
      <c r="G128" s="105" t="str">
        <f>$B$31</f>
        <v>Floor Finish @ Bedroom</v>
      </c>
      <c r="H128" s="106">
        <v>334.49</v>
      </c>
      <c r="I128" s="107" t="str">
        <f>$D$31</f>
        <v>SF</v>
      </c>
      <c r="J128" s="107">
        <f t="shared" si="8"/>
        <v>335</v>
      </c>
      <c r="L128" s="105" t="str">
        <f>$B$31</f>
        <v>Floor Finish @ Bedroom</v>
      </c>
      <c r="M128" s="106">
        <v>334.49</v>
      </c>
      <c r="N128" s="107" t="str">
        <f>$D$31</f>
        <v>SF</v>
      </c>
      <c r="O128" s="107">
        <f t="shared" si="9"/>
        <v>335</v>
      </c>
      <c r="Q128" s="105" t="str">
        <f>$B$31</f>
        <v>Floor Finish @ Bedroom</v>
      </c>
      <c r="R128" s="106">
        <v>334.49</v>
      </c>
      <c r="S128" s="107" t="str">
        <f>$D$31</f>
        <v>SF</v>
      </c>
      <c r="T128" s="107">
        <f t="shared" si="10"/>
        <v>335</v>
      </c>
      <c r="V128" s="105" t="str">
        <f>$B$31</f>
        <v>Floor Finish @ Bedroom</v>
      </c>
      <c r="W128" s="106">
        <v>334.49</v>
      </c>
      <c r="X128" s="107" t="str">
        <f>$D$31</f>
        <v>SF</v>
      </c>
      <c r="Y128" s="107">
        <f t="shared" si="11"/>
        <v>335</v>
      </c>
      <c r="AA128" s="105" t="str">
        <f>$B$31</f>
        <v>Floor Finish @ Bedroom</v>
      </c>
      <c r="AB128" s="106">
        <v>334.49</v>
      </c>
      <c r="AC128" s="107" t="str">
        <f>$D$31</f>
        <v>SF</v>
      </c>
      <c r="AD128" s="107">
        <f t="shared" si="12"/>
        <v>335</v>
      </c>
      <c r="CI128" s="76"/>
      <c r="CJ128" s="76"/>
      <c r="CK128" s="76"/>
      <c r="CL128" s="76"/>
      <c r="CM128" s="76"/>
      <c r="CN128" s="76"/>
      <c r="CO128" s="76"/>
      <c r="CP128" s="76"/>
      <c r="CQ128" s="76"/>
      <c r="CR128" s="76"/>
      <c r="CS128" s="76"/>
    </row>
    <row r="129" spans="1:97" s="72" customFormat="1">
      <c r="B129" s="105" t="str">
        <f>$B$33</f>
        <v>Floor Finish @ Closet</v>
      </c>
      <c r="C129" s="106">
        <f t="shared" si="7"/>
        <v>0</v>
      </c>
      <c r="D129" s="107" t="str">
        <f>$D$33</f>
        <v>SF</v>
      </c>
      <c r="G129" s="105" t="str">
        <f>$B$33</f>
        <v>Floor Finish @ Closet</v>
      </c>
      <c r="H129" s="106">
        <v>0</v>
      </c>
      <c r="I129" s="107" t="str">
        <f>$D$33</f>
        <v>SF</v>
      </c>
      <c r="J129" s="107">
        <f t="shared" si="8"/>
        <v>0</v>
      </c>
      <c r="L129" s="105" t="str">
        <f>$B$33</f>
        <v>Floor Finish @ Closet</v>
      </c>
      <c r="M129" s="106">
        <v>0</v>
      </c>
      <c r="N129" s="107" t="str">
        <f>$D$33</f>
        <v>SF</v>
      </c>
      <c r="O129" s="107">
        <f t="shared" si="9"/>
        <v>0</v>
      </c>
      <c r="Q129" s="105" t="str">
        <f>$B$33</f>
        <v>Floor Finish @ Closet</v>
      </c>
      <c r="R129" s="106">
        <v>0</v>
      </c>
      <c r="S129" s="107" t="str">
        <f>$D$33</f>
        <v>SF</v>
      </c>
      <c r="T129" s="107">
        <f t="shared" si="10"/>
        <v>0</v>
      </c>
      <c r="V129" s="105" t="str">
        <f>$B$33</f>
        <v>Floor Finish @ Closet</v>
      </c>
      <c r="W129" s="106">
        <v>0</v>
      </c>
      <c r="X129" s="107" t="str">
        <f>$D$33</f>
        <v>SF</v>
      </c>
      <c r="Y129" s="107">
        <f t="shared" si="11"/>
        <v>0</v>
      </c>
      <c r="AA129" s="105" t="str">
        <f>$B$33</f>
        <v>Floor Finish @ Closet</v>
      </c>
      <c r="AB129" s="106">
        <v>0</v>
      </c>
      <c r="AC129" s="107" t="str">
        <f>$D$33</f>
        <v>SF</v>
      </c>
      <c r="AD129" s="107">
        <f t="shared" si="12"/>
        <v>0</v>
      </c>
      <c r="CI129" s="76"/>
      <c r="CJ129" s="76"/>
      <c r="CK129" s="76"/>
      <c r="CL129" s="76"/>
      <c r="CM129" s="76"/>
      <c r="CN129" s="76"/>
      <c r="CO129" s="76"/>
      <c r="CP129" s="76"/>
      <c r="CQ129" s="76"/>
      <c r="CR129" s="76"/>
      <c r="CS129" s="76"/>
    </row>
    <row r="130" spans="1:97" s="72" customFormat="1">
      <c r="B130" s="105" t="str">
        <f>$B$35</f>
        <v>Floor Finish @ Hall</v>
      </c>
      <c r="C130" s="106">
        <f t="shared" si="7"/>
        <v>0</v>
      </c>
      <c r="D130" s="107" t="str">
        <f>$D$35</f>
        <v>SF</v>
      </c>
      <c r="G130" s="105" t="str">
        <f>$B$35</f>
        <v>Floor Finish @ Hall</v>
      </c>
      <c r="H130" s="106">
        <v>0</v>
      </c>
      <c r="I130" s="107" t="str">
        <f>$D$35</f>
        <v>SF</v>
      </c>
      <c r="J130" s="107">
        <f t="shared" si="8"/>
        <v>0</v>
      </c>
      <c r="L130" s="105" t="str">
        <f>$B$35</f>
        <v>Floor Finish @ Hall</v>
      </c>
      <c r="M130" s="106">
        <v>0</v>
      </c>
      <c r="N130" s="107" t="str">
        <f>$D$35</f>
        <v>SF</v>
      </c>
      <c r="O130" s="107">
        <f t="shared" si="9"/>
        <v>0</v>
      </c>
      <c r="Q130" s="105" t="str">
        <f>$B$35</f>
        <v>Floor Finish @ Hall</v>
      </c>
      <c r="R130" s="106">
        <v>0</v>
      </c>
      <c r="S130" s="107" t="str">
        <f>$D$35</f>
        <v>SF</v>
      </c>
      <c r="T130" s="107">
        <f t="shared" si="10"/>
        <v>0</v>
      </c>
      <c r="V130" s="105" t="str">
        <f>$B$35</f>
        <v>Floor Finish @ Hall</v>
      </c>
      <c r="W130" s="106">
        <v>0</v>
      </c>
      <c r="X130" s="107" t="str">
        <f>$D$35</f>
        <v>SF</v>
      </c>
      <c r="Y130" s="107">
        <f t="shared" si="11"/>
        <v>0</v>
      </c>
      <c r="AA130" s="105" t="str">
        <f>$B$35</f>
        <v>Floor Finish @ Hall</v>
      </c>
      <c r="AB130" s="106">
        <v>0</v>
      </c>
      <c r="AC130" s="107" t="str">
        <f>$D$35</f>
        <v>SF</v>
      </c>
      <c r="AD130" s="107">
        <f t="shared" si="12"/>
        <v>0</v>
      </c>
      <c r="CI130" s="76"/>
      <c r="CJ130" s="76"/>
      <c r="CK130" s="76"/>
      <c r="CL130" s="76"/>
      <c r="CM130" s="76"/>
      <c r="CN130" s="76"/>
      <c r="CO130" s="76"/>
      <c r="CP130" s="76"/>
      <c r="CQ130" s="76"/>
      <c r="CR130" s="76"/>
      <c r="CS130" s="76"/>
    </row>
    <row r="131" spans="1:97" s="72" customFormat="1">
      <c r="B131" s="105" t="str">
        <f>$B$37</f>
        <v>Floor Finish @ Shower</v>
      </c>
      <c r="C131" s="106">
        <f t="shared" si="7"/>
        <v>0</v>
      </c>
      <c r="D131" s="107" t="str">
        <f>$D$37</f>
        <v>SF</v>
      </c>
      <c r="G131" s="105" t="str">
        <f>$B$37</f>
        <v>Floor Finish @ Shower</v>
      </c>
      <c r="H131" s="106">
        <v>0</v>
      </c>
      <c r="I131" s="107" t="str">
        <f>$D$37</f>
        <v>SF</v>
      </c>
      <c r="J131" s="107">
        <f t="shared" si="8"/>
        <v>0</v>
      </c>
      <c r="L131" s="105" t="str">
        <f>$B$37</f>
        <v>Floor Finish @ Shower</v>
      </c>
      <c r="M131" s="106">
        <v>0</v>
      </c>
      <c r="N131" s="107" t="str">
        <f>$D$37</f>
        <v>SF</v>
      </c>
      <c r="O131" s="107">
        <f t="shared" si="9"/>
        <v>0</v>
      </c>
      <c r="Q131" s="105" t="str">
        <f>$B$37</f>
        <v>Floor Finish @ Shower</v>
      </c>
      <c r="R131" s="106">
        <v>0</v>
      </c>
      <c r="S131" s="107" t="str">
        <f>$D$37</f>
        <v>SF</v>
      </c>
      <c r="T131" s="107">
        <f t="shared" si="10"/>
        <v>0</v>
      </c>
      <c r="V131" s="105" t="str">
        <f>$B$37</f>
        <v>Floor Finish @ Shower</v>
      </c>
      <c r="W131" s="106">
        <v>0</v>
      </c>
      <c r="X131" s="107" t="str">
        <f>$D$37</f>
        <v>SF</v>
      </c>
      <c r="Y131" s="107">
        <f t="shared" si="11"/>
        <v>0</v>
      </c>
      <c r="AA131" s="105" t="str">
        <f>$B$37</f>
        <v>Floor Finish @ Shower</v>
      </c>
      <c r="AB131" s="106">
        <v>0</v>
      </c>
      <c r="AC131" s="107" t="str">
        <f>$D$37</f>
        <v>SF</v>
      </c>
      <c r="AD131" s="107">
        <f t="shared" si="12"/>
        <v>0</v>
      </c>
      <c r="CI131" s="76"/>
      <c r="CJ131" s="76"/>
      <c r="CK131" s="76"/>
      <c r="CL131" s="76"/>
      <c r="CM131" s="76"/>
      <c r="CN131" s="76"/>
      <c r="CO131" s="76"/>
      <c r="CP131" s="76"/>
      <c r="CQ131" s="76"/>
      <c r="CR131" s="76"/>
      <c r="CS131" s="76"/>
    </row>
    <row r="132" spans="1:97" s="72" customFormat="1">
      <c r="B132" s="105" t="str">
        <f>$B$41</f>
        <v>Wall Base</v>
      </c>
      <c r="C132" s="106">
        <f t="shared" si="7"/>
        <v>640</v>
      </c>
      <c r="D132" s="107" t="str">
        <f>$D$41</f>
        <v>LF</v>
      </c>
      <c r="G132" s="105" t="str">
        <f>$B$41</f>
        <v>Wall Base</v>
      </c>
      <c r="H132" s="106">
        <v>127.7814</v>
      </c>
      <c r="I132" s="107" t="str">
        <f>$D$41</f>
        <v>LF</v>
      </c>
      <c r="J132" s="107">
        <f t="shared" si="8"/>
        <v>128</v>
      </c>
      <c r="L132" s="105" t="str">
        <f>$B$41</f>
        <v>Wall Base</v>
      </c>
      <c r="M132" s="106">
        <v>127.7814</v>
      </c>
      <c r="N132" s="107" t="str">
        <f>$D$41</f>
        <v>LF</v>
      </c>
      <c r="O132" s="107">
        <f t="shared" si="9"/>
        <v>128</v>
      </c>
      <c r="Q132" s="105" t="str">
        <f>$B$41</f>
        <v>Wall Base</v>
      </c>
      <c r="R132" s="106">
        <v>127.7814</v>
      </c>
      <c r="S132" s="107" t="str">
        <f>$D$41</f>
        <v>LF</v>
      </c>
      <c r="T132" s="107">
        <f t="shared" si="10"/>
        <v>128</v>
      </c>
      <c r="V132" s="105" t="str">
        <f>$B$41</f>
        <v>Wall Base</v>
      </c>
      <c r="W132" s="106">
        <v>127.7814</v>
      </c>
      <c r="X132" s="107" t="str">
        <f>$D$41</f>
        <v>LF</v>
      </c>
      <c r="Y132" s="107">
        <f t="shared" si="11"/>
        <v>128</v>
      </c>
      <c r="AA132" s="105" t="str">
        <f>$B$41</f>
        <v>Wall Base</v>
      </c>
      <c r="AB132" s="106">
        <v>127.7814</v>
      </c>
      <c r="AC132" s="107" t="str">
        <f>$D$41</f>
        <v>LF</v>
      </c>
      <c r="AD132" s="107">
        <f t="shared" si="12"/>
        <v>128</v>
      </c>
      <c r="CI132" s="76"/>
      <c r="CJ132" s="76"/>
      <c r="CK132" s="76"/>
      <c r="CL132" s="76"/>
      <c r="CM132" s="76"/>
      <c r="CN132" s="76"/>
      <c r="CO132" s="76"/>
      <c r="CP132" s="76"/>
      <c r="CQ132" s="76"/>
      <c r="CR132" s="76"/>
      <c r="CS132" s="76"/>
    </row>
    <row r="133" spans="1:97" s="72" customFormat="1">
      <c r="B133" s="105" t="str">
        <f>$B$45</f>
        <v>Wall Tile @ Bathroom @ Ht. 9'0" (Assumed)</v>
      </c>
      <c r="C133" s="106">
        <f t="shared" si="7"/>
        <v>0</v>
      </c>
      <c r="D133" s="107" t="str">
        <f>$D$45</f>
        <v>LF</v>
      </c>
      <c r="G133" s="105" t="str">
        <f>$B$45</f>
        <v>Wall Tile @ Bathroom @ Ht. 9'0" (Assumed)</v>
      </c>
      <c r="H133" s="106">
        <v>0</v>
      </c>
      <c r="I133" s="107" t="str">
        <f>$D$45</f>
        <v>LF</v>
      </c>
      <c r="J133" s="107">
        <f t="shared" si="8"/>
        <v>0</v>
      </c>
      <c r="L133" s="105" t="str">
        <f>$B$45</f>
        <v>Wall Tile @ Bathroom @ Ht. 9'0" (Assumed)</v>
      </c>
      <c r="M133" s="106">
        <v>0</v>
      </c>
      <c r="N133" s="107" t="str">
        <f>$D$45</f>
        <v>LF</v>
      </c>
      <c r="O133" s="107">
        <f t="shared" si="9"/>
        <v>0</v>
      </c>
      <c r="Q133" s="105" t="str">
        <f>$B$45</f>
        <v>Wall Tile @ Bathroom @ Ht. 9'0" (Assumed)</v>
      </c>
      <c r="R133" s="106">
        <v>0</v>
      </c>
      <c r="S133" s="107" t="str">
        <f>$D$45</f>
        <v>LF</v>
      </c>
      <c r="T133" s="107">
        <f t="shared" si="10"/>
        <v>0</v>
      </c>
      <c r="V133" s="105" t="str">
        <f>$B$45</f>
        <v>Wall Tile @ Bathroom @ Ht. 9'0" (Assumed)</v>
      </c>
      <c r="W133" s="106">
        <v>0</v>
      </c>
      <c r="X133" s="107" t="str">
        <f>$D$45</f>
        <v>LF</v>
      </c>
      <c r="Y133" s="107">
        <f t="shared" si="11"/>
        <v>0</v>
      </c>
      <c r="AA133" s="105" t="str">
        <f>$B$45</f>
        <v>Wall Tile @ Bathroom @ Ht. 9'0" (Assumed)</v>
      </c>
      <c r="AB133" s="106">
        <v>0</v>
      </c>
      <c r="AC133" s="107" t="str">
        <f>$D$45</f>
        <v>LF</v>
      </c>
      <c r="AD133" s="107">
        <f t="shared" si="12"/>
        <v>0</v>
      </c>
      <c r="CI133" s="76"/>
      <c r="CJ133" s="76"/>
      <c r="CK133" s="76"/>
      <c r="CL133" s="76"/>
      <c r="CM133" s="76"/>
      <c r="CN133" s="76"/>
      <c r="CO133" s="76"/>
      <c r="CP133" s="76"/>
      <c r="CQ133" s="76"/>
      <c r="CR133" s="76"/>
      <c r="CS133" s="76"/>
    </row>
    <row r="134" spans="1:97" s="72" customFormat="1">
      <c r="B134" s="105" t="str">
        <f>$B$50</f>
        <v>Shower Enclosure Door W/ Partition</v>
      </c>
      <c r="C134" s="106">
        <f t="shared" si="7"/>
        <v>5</v>
      </c>
      <c r="D134" s="107" t="str">
        <f>$D$50</f>
        <v>EA</v>
      </c>
      <c r="G134" s="105" t="str">
        <f>$B$50</f>
        <v>Shower Enclosure Door W/ Partition</v>
      </c>
      <c r="H134" s="106">
        <v>1</v>
      </c>
      <c r="I134" s="107" t="str">
        <f>$D$50</f>
        <v>EA</v>
      </c>
      <c r="J134" s="107">
        <f t="shared" si="8"/>
        <v>1</v>
      </c>
      <c r="L134" s="105" t="str">
        <f>$B$50</f>
        <v>Shower Enclosure Door W/ Partition</v>
      </c>
      <c r="M134" s="106">
        <v>1</v>
      </c>
      <c r="N134" s="107" t="str">
        <f>$D$50</f>
        <v>EA</v>
      </c>
      <c r="O134" s="107">
        <f t="shared" si="9"/>
        <v>1</v>
      </c>
      <c r="Q134" s="105" t="str">
        <f>$B$50</f>
        <v>Shower Enclosure Door W/ Partition</v>
      </c>
      <c r="R134" s="106">
        <v>1</v>
      </c>
      <c r="S134" s="107" t="str">
        <f>$D$50</f>
        <v>EA</v>
      </c>
      <c r="T134" s="107">
        <f t="shared" si="10"/>
        <v>1</v>
      </c>
      <c r="V134" s="105" t="str">
        <f>$B$50</f>
        <v>Shower Enclosure Door W/ Partition</v>
      </c>
      <c r="W134" s="106">
        <v>1</v>
      </c>
      <c r="X134" s="107" t="str">
        <f>$D$50</f>
        <v>EA</v>
      </c>
      <c r="Y134" s="107">
        <f t="shared" si="11"/>
        <v>1</v>
      </c>
      <c r="AA134" s="105" t="str">
        <f>$B$50</f>
        <v>Shower Enclosure Door W/ Partition</v>
      </c>
      <c r="AB134" s="106">
        <v>1</v>
      </c>
      <c r="AC134" s="107" t="str">
        <f>$D$50</f>
        <v>EA</v>
      </c>
      <c r="AD134" s="107">
        <f t="shared" si="12"/>
        <v>1</v>
      </c>
      <c r="CI134" s="76"/>
      <c r="CJ134" s="76"/>
      <c r="CK134" s="76"/>
      <c r="CL134" s="76"/>
      <c r="CM134" s="76"/>
      <c r="CN134" s="76"/>
      <c r="CO134" s="76"/>
      <c r="CP134" s="76"/>
      <c r="CQ134" s="76"/>
      <c r="CR134" s="76"/>
      <c r="CS134" s="76"/>
    </row>
    <row r="135" spans="1:97" s="72" customFormat="1">
      <c r="B135" s="105" t="str">
        <f>$B$52</f>
        <v>Lavatory</v>
      </c>
      <c r="C135" s="106">
        <f t="shared" si="7"/>
        <v>5</v>
      </c>
      <c r="D135" s="107" t="str">
        <f>$D$52</f>
        <v>EA</v>
      </c>
      <c r="G135" s="105" t="str">
        <f>$B$52</f>
        <v>Lavatory</v>
      </c>
      <c r="H135" s="106">
        <v>1</v>
      </c>
      <c r="I135" s="107" t="str">
        <f>$D$52</f>
        <v>EA</v>
      </c>
      <c r="J135" s="107">
        <f t="shared" si="8"/>
        <v>1</v>
      </c>
      <c r="L135" s="105" t="str">
        <f>$B$52</f>
        <v>Lavatory</v>
      </c>
      <c r="M135" s="106">
        <v>1</v>
      </c>
      <c r="N135" s="107" t="str">
        <f>$D$52</f>
        <v>EA</v>
      </c>
      <c r="O135" s="107">
        <f t="shared" si="9"/>
        <v>1</v>
      </c>
      <c r="Q135" s="105" t="str">
        <f>$B$52</f>
        <v>Lavatory</v>
      </c>
      <c r="R135" s="106">
        <v>1</v>
      </c>
      <c r="S135" s="107" t="str">
        <f>$D$52</f>
        <v>EA</v>
      </c>
      <c r="T135" s="107">
        <f t="shared" si="10"/>
        <v>1</v>
      </c>
      <c r="V135" s="105" t="str">
        <f>$B$52</f>
        <v>Lavatory</v>
      </c>
      <c r="W135" s="106">
        <v>1</v>
      </c>
      <c r="X135" s="107" t="str">
        <f>$D$52</f>
        <v>EA</v>
      </c>
      <c r="Y135" s="107">
        <f t="shared" si="11"/>
        <v>1</v>
      </c>
      <c r="AA135" s="105" t="str">
        <f>$B$52</f>
        <v>Lavatory</v>
      </c>
      <c r="AB135" s="106">
        <v>1</v>
      </c>
      <c r="AC135" s="107" t="str">
        <f>$D$52</f>
        <v>EA</v>
      </c>
      <c r="AD135" s="107">
        <f t="shared" si="12"/>
        <v>1</v>
      </c>
      <c r="CI135" s="76"/>
      <c r="CJ135" s="76"/>
      <c r="CK135" s="76"/>
      <c r="CL135" s="76"/>
      <c r="CM135" s="76"/>
      <c r="CN135" s="76"/>
      <c r="CO135" s="76"/>
      <c r="CP135" s="76"/>
      <c r="CQ135" s="76"/>
      <c r="CR135" s="76"/>
      <c r="CS135" s="76"/>
    </row>
    <row r="136" spans="1:97" s="72" customFormat="1">
      <c r="B136" s="105" t="str">
        <f>$B$54</f>
        <v>Shower</v>
      </c>
      <c r="C136" s="106">
        <f t="shared" si="7"/>
        <v>5</v>
      </c>
      <c r="D136" s="107" t="str">
        <f>$D$54</f>
        <v>EA</v>
      </c>
      <c r="G136" s="105" t="str">
        <f>$B$54</f>
        <v>Shower</v>
      </c>
      <c r="H136" s="106">
        <v>1</v>
      </c>
      <c r="I136" s="107" t="str">
        <f>$D$54</f>
        <v>EA</v>
      </c>
      <c r="J136" s="107">
        <f t="shared" si="8"/>
        <v>1</v>
      </c>
      <c r="L136" s="105" t="str">
        <f>$B$54</f>
        <v>Shower</v>
      </c>
      <c r="M136" s="106">
        <v>1</v>
      </c>
      <c r="N136" s="107" t="str">
        <f>$D$54</f>
        <v>EA</v>
      </c>
      <c r="O136" s="107">
        <f t="shared" si="9"/>
        <v>1</v>
      </c>
      <c r="Q136" s="105" t="str">
        <f>$B$54</f>
        <v>Shower</v>
      </c>
      <c r="R136" s="106">
        <v>1</v>
      </c>
      <c r="S136" s="107" t="str">
        <f>$D$54</f>
        <v>EA</v>
      </c>
      <c r="T136" s="107">
        <f t="shared" si="10"/>
        <v>1</v>
      </c>
      <c r="V136" s="105" t="str">
        <f>$B$54</f>
        <v>Shower</v>
      </c>
      <c r="W136" s="106">
        <v>1</v>
      </c>
      <c r="X136" s="107" t="str">
        <f>$D$54</f>
        <v>EA</v>
      </c>
      <c r="Y136" s="107">
        <f t="shared" si="11"/>
        <v>1</v>
      </c>
      <c r="AA136" s="105" t="str">
        <f>$B$54</f>
        <v>Shower</v>
      </c>
      <c r="AB136" s="106">
        <v>1</v>
      </c>
      <c r="AC136" s="107" t="str">
        <f>$D$54</f>
        <v>EA</v>
      </c>
      <c r="AD136" s="107">
        <f t="shared" si="12"/>
        <v>1</v>
      </c>
      <c r="CI136" s="76"/>
      <c r="CJ136" s="76"/>
      <c r="CK136" s="76"/>
      <c r="CL136" s="76"/>
      <c r="CM136" s="76"/>
      <c r="CN136" s="76"/>
      <c r="CO136" s="76"/>
      <c r="CP136" s="76"/>
      <c r="CQ136" s="76"/>
      <c r="CR136" s="76"/>
      <c r="CS136" s="76"/>
    </row>
    <row r="137" spans="1:97" s="72" customFormat="1">
      <c r="B137" s="105" t="str">
        <f>$B$56</f>
        <v>Water Closet</v>
      </c>
      <c r="C137" s="106">
        <f t="shared" si="7"/>
        <v>5</v>
      </c>
      <c r="D137" s="107" t="str">
        <f>$D$56</f>
        <v>EA</v>
      </c>
      <c r="G137" s="105" t="str">
        <f>$B$56</f>
        <v>Water Closet</v>
      </c>
      <c r="H137" s="106">
        <v>1</v>
      </c>
      <c r="I137" s="107" t="str">
        <f>$D$56</f>
        <v>EA</v>
      </c>
      <c r="J137" s="107">
        <f t="shared" si="8"/>
        <v>1</v>
      </c>
      <c r="L137" s="105" t="str">
        <f>$B$56</f>
        <v>Water Closet</v>
      </c>
      <c r="M137" s="106">
        <v>1</v>
      </c>
      <c r="N137" s="107" t="str">
        <f>$D$56</f>
        <v>EA</v>
      </c>
      <c r="O137" s="107">
        <f t="shared" si="9"/>
        <v>1</v>
      </c>
      <c r="Q137" s="105" t="str">
        <f>$B$56</f>
        <v>Water Closet</v>
      </c>
      <c r="R137" s="106">
        <v>1</v>
      </c>
      <c r="S137" s="107" t="str">
        <f>$D$56</f>
        <v>EA</v>
      </c>
      <c r="T137" s="107">
        <f t="shared" si="10"/>
        <v>1</v>
      </c>
      <c r="V137" s="105" t="str">
        <f>$B$56</f>
        <v>Water Closet</v>
      </c>
      <c r="W137" s="106">
        <v>1</v>
      </c>
      <c r="X137" s="107" t="str">
        <f>$D$56</f>
        <v>EA</v>
      </c>
      <c r="Y137" s="107">
        <f t="shared" si="11"/>
        <v>1</v>
      </c>
      <c r="AA137" s="105" t="str">
        <f>$B$56</f>
        <v>Water Closet</v>
      </c>
      <c r="AB137" s="106">
        <v>1</v>
      </c>
      <c r="AC137" s="107" t="str">
        <f>$D$56</f>
        <v>EA</v>
      </c>
      <c r="AD137" s="107">
        <f t="shared" si="12"/>
        <v>1</v>
      </c>
      <c r="CI137" s="76"/>
      <c r="CJ137" s="76"/>
      <c r="CK137" s="76"/>
      <c r="CL137" s="76"/>
      <c r="CM137" s="76"/>
      <c r="CN137" s="76"/>
      <c r="CO137" s="76"/>
      <c r="CP137" s="76"/>
      <c r="CQ137" s="76"/>
      <c r="CR137" s="76"/>
      <c r="CS137" s="76"/>
    </row>
    <row r="138" spans="1:97" s="72" customFormat="1">
      <c r="B138" s="105" t="str">
        <f>$B$61</f>
        <v>Chilled Water Concealed Ducted Unit w/ Electric Heat</v>
      </c>
      <c r="C138" s="106">
        <f t="shared" si="7"/>
        <v>5</v>
      </c>
      <c r="D138" s="107" t="str">
        <f>$D$61</f>
        <v>EA</v>
      </c>
      <c r="G138" s="105" t="str">
        <f>$B$61</f>
        <v>Chilled Water Concealed Ducted Unit w/ Electric Heat</v>
      </c>
      <c r="H138" s="106">
        <v>1</v>
      </c>
      <c r="I138" s="107" t="str">
        <f>$D$61</f>
        <v>EA</v>
      </c>
      <c r="J138" s="107">
        <f t="shared" si="8"/>
        <v>1</v>
      </c>
      <c r="L138" s="105" t="str">
        <f>$B$61</f>
        <v>Chilled Water Concealed Ducted Unit w/ Electric Heat</v>
      </c>
      <c r="M138" s="106">
        <v>1</v>
      </c>
      <c r="N138" s="107" t="str">
        <f>$D$61</f>
        <v>EA</v>
      </c>
      <c r="O138" s="107">
        <f t="shared" si="9"/>
        <v>1</v>
      </c>
      <c r="Q138" s="105" t="str">
        <f>$B$61</f>
        <v>Chilled Water Concealed Ducted Unit w/ Electric Heat</v>
      </c>
      <c r="R138" s="106">
        <v>1</v>
      </c>
      <c r="S138" s="107" t="str">
        <f>$D$61</f>
        <v>EA</v>
      </c>
      <c r="T138" s="107">
        <f t="shared" si="10"/>
        <v>1</v>
      </c>
      <c r="V138" s="105" t="str">
        <f>$B$61</f>
        <v>Chilled Water Concealed Ducted Unit w/ Electric Heat</v>
      </c>
      <c r="W138" s="106">
        <v>1</v>
      </c>
      <c r="X138" s="107" t="str">
        <f>$D$61</f>
        <v>EA</v>
      </c>
      <c r="Y138" s="107">
        <f t="shared" si="11"/>
        <v>1</v>
      </c>
      <c r="AA138" s="105" t="str">
        <f>$B$61</f>
        <v>Chilled Water Concealed Ducted Unit w/ Electric Heat</v>
      </c>
      <c r="AB138" s="106">
        <v>1</v>
      </c>
      <c r="AC138" s="107" t="str">
        <f>$D$61</f>
        <v>EA</v>
      </c>
      <c r="AD138" s="107">
        <f t="shared" si="12"/>
        <v>1</v>
      </c>
      <c r="CI138" s="76"/>
      <c r="CJ138" s="76"/>
      <c r="CK138" s="76"/>
      <c r="CL138" s="76"/>
      <c r="CM138" s="76"/>
      <c r="CN138" s="76"/>
      <c r="CO138" s="76"/>
      <c r="CP138" s="76"/>
      <c r="CQ138" s="76"/>
      <c r="CR138" s="76"/>
      <c r="CS138" s="76"/>
    </row>
    <row r="139" spans="1:97" s="72" customFormat="1">
      <c r="B139" s="108" t="str">
        <f>$B$66</f>
        <v>Panel Board</v>
      </c>
      <c r="C139" s="109">
        <f t="shared" si="7"/>
        <v>5</v>
      </c>
      <c r="D139" s="110" t="str">
        <f>$D$66</f>
        <v>EA</v>
      </c>
      <c r="G139" s="108" t="str">
        <f>$B$66</f>
        <v>Panel Board</v>
      </c>
      <c r="H139" s="109">
        <v>1</v>
      </c>
      <c r="I139" s="110" t="str">
        <f>$D$66</f>
        <v>EA</v>
      </c>
      <c r="J139" s="110">
        <f t="shared" si="8"/>
        <v>1</v>
      </c>
      <c r="L139" s="108" t="str">
        <f>$B$66</f>
        <v>Panel Board</v>
      </c>
      <c r="M139" s="109">
        <v>1</v>
      </c>
      <c r="N139" s="110" t="str">
        <f>$D$66</f>
        <v>EA</v>
      </c>
      <c r="O139" s="110">
        <f t="shared" si="9"/>
        <v>1</v>
      </c>
      <c r="Q139" s="108" t="str">
        <f>$B$66</f>
        <v>Panel Board</v>
      </c>
      <c r="R139" s="109">
        <v>1</v>
      </c>
      <c r="S139" s="110" t="str">
        <f>$D$66</f>
        <v>EA</v>
      </c>
      <c r="T139" s="110">
        <f t="shared" si="10"/>
        <v>1</v>
      </c>
      <c r="V139" s="108" t="str">
        <f>$B$66</f>
        <v>Panel Board</v>
      </c>
      <c r="W139" s="109">
        <v>1</v>
      </c>
      <c r="X139" s="110" t="str">
        <f>$D$66</f>
        <v>EA</v>
      </c>
      <c r="Y139" s="110">
        <f t="shared" si="11"/>
        <v>1</v>
      </c>
      <c r="AA139" s="108" t="str">
        <f>$B$66</f>
        <v>Panel Board</v>
      </c>
      <c r="AB139" s="109">
        <v>1</v>
      </c>
      <c r="AC139" s="110" t="str">
        <f>$D$66</f>
        <v>EA</v>
      </c>
      <c r="AD139" s="110">
        <f t="shared" si="12"/>
        <v>1</v>
      </c>
      <c r="CI139" s="76"/>
      <c r="CJ139" s="76"/>
      <c r="CK139" s="76"/>
      <c r="CL139" s="76"/>
      <c r="CM139" s="76"/>
      <c r="CN139" s="76"/>
      <c r="CO139" s="76"/>
      <c r="CP139" s="76"/>
      <c r="CQ139" s="76"/>
      <c r="CR139" s="76"/>
      <c r="CS139" s="76"/>
    </row>
    <row r="140" spans="1:97" s="72" customFormat="1"/>
    <row r="141" spans="1:97" s="72" customFormat="1"/>
    <row r="142" spans="1:97" s="72" customFormat="1"/>
    <row r="143" spans="1:97" s="75" customFormat="1" ht="15.75">
      <c r="A143" s="74"/>
      <c r="B143" s="111" t="s">
        <v>71</v>
      </c>
      <c r="C143" s="112">
        <f>H143+M143+R143+W143+AB143</f>
        <v>35</v>
      </c>
      <c r="D143" s="113"/>
      <c r="E143" s="74"/>
      <c r="F143" s="74"/>
      <c r="G143" s="114" t="s">
        <v>65</v>
      </c>
      <c r="H143" s="115">
        <v>7</v>
      </c>
      <c r="I143" s="115" t="s">
        <v>25</v>
      </c>
      <c r="J143" s="120"/>
      <c r="K143" s="74"/>
      <c r="L143" s="114" t="s">
        <v>66</v>
      </c>
      <c r="M143" s="115">
        <v>7</v>
      </c>
      <c r="N143" s="115" t="s">
        <v>25</v>
      </c>
      <c r="O143" s="120"/>
      <c r="P143" s="74"/>
      <c r="Q143" s="114" t="s">
        <v>67</v>
      </c>
      <c r="R143" s="115">
        <v>7</v>
      </c>
      <c r="S143" s="115" t="s">
        <v>25</v>
      </c>
      <c r="T143" s="120"/>
      <c r="U143" s="74"/>
      <c r="V143" s="114" t="s">
        <v>68</v>
      </c>
      <c r="W143" s="115">
        <v>7</v>
      </c>
      <c r="X143" s="115" t="s">
        <v>25</v>
      </c>
      <c r="Y143" s="120"/>
      <c r="Z143" s="74"/>
      <c r="AA143" s="114" t="s">
        <v>69</v>
      </c>
      <c r="AB143" s="115">
        <v>7</v>
      </c>
      <c r="AC143" s="115" t="s">
        <v>25</v>
      </c>
      <c r="AD143" s="120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  <c r="AS143" s="74"/>
      <c r="AT143" s="74"/>
      <c r="AU143" s="74"/>
      <c r="AV143" s="74"/>
      <c r="AW143" s="74"/>
      <c r="AX143" s="74"/>
      <c r="AY143" s="74"/>
      <c r="AZ143" s="74"/>
      <c r="BA143" s="74"/>
      <c r="BB143" s="74"/>
      <c r="BC143" s="74"/>
      <c r="BD143" s="74"/>
      <c r="BE143" s="74"/>
      <c r="BF143" s="74"/>
      <c r="BG143" s="74"/>
      <c r="BH143" s="74"/>
      <c r="BI143" s="74"/>
      <c r="BJ143" s="74"/>
      <c r="BK143" s="74"/>
      <c r="BL143" s="74"/>
      <c r="BM143" s="74"/>
      <c r="BN143" s="74"/>
      <c r="BO143" s="74"/>
      <c r="BP143" s="74"/>
      <c r="BQ143" s="74"/>
      <c r="BR143" s="74"/>
      <c r="BS143" s="74"/>
      <c r="BT143" s="74"/>
      <c r="BU143" s="74"/>
      <c r="BV143" s="74"/>
      <c r="BW143" s="74"/>
      <c r="BX143" s="74"/>
      <c r="BY143" s="74"/>
      <c r="BZ143" s="74"/>
      <c r="CA143" s="74"/>
      <c r="CB143" s="74"/>
      <c r="CC143" s="74"/>
      <c r="CD143" s="74"/>
      <c r="CE143" s="74"/>
      <c r="CF143" s="74"/>
      <c r="CG143" s="74"/>
      <c r="CH143" s="74"/>
    </row>
    <row r="144" spans="1:97" s="75" customFormat="1" ht="15.75">
      <c r="A144" s="74"/>
      <c r="B144" s="116"/>
      <c r="C144" s="117"/>
      <c r="D144" s="118"/>
      <c r="E144" s="74"/>
      <c r="F144" s="74"/>
      <c r="G144" s="116"/>
      <c r="H144" s="119"/>
      <c r="I144" s="121"/>
      <c r="J144" s="121"/>
      <c r="K144" s="74"/>
      <c r="L144" s="116"/>
      <c r="M144" s="119"/>
      <c r="N144" s="121"/>
      <c r="O144" s="121"/>
      <c r="P144" s="74"/>
      <c r="Q144" s="116"/>
      <c r="R144" s="119"/>
      <c r="S144" s="121"/>
      <c r="T144" s="121"/>
      <c r="U144" s="74"/>
      <c r="V144" s="116"/>
      <c r="W144" s="119"/>
      <c r="X144" s="121"/>
      <c r="Y144" s="121"/>
      <c r="Z144" s="74"/>
      <c r="AA144" s="116"/>
      <c r="AB144" s="119"/>
      <c r="AC144" s="121"/>
      <c r="AD144" s="121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4"/>
      <c r="AU144" s="74"/>
      <c r="AV144" s="74"/>
      <c r="AW144" s="74"/>
      <c r="AX144" s="74"/>
      <c r="AY144" s="74"/>
      <c r="AZ144" s="74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4"/>
      <c r="BP144" s="74"/>
      <c r="BQ144" s="74"/>
      <c r="BR144" s="74"/>
      <c r="BS144" s="74"/>
      <c r="BT144" s="74"/>
      <c r="BU144" s="74"/>
      <c r="BV144" s="74"/>
      <c r="BW144" s="74"/>
      <c r="BX144" s="74"/>
      <c r="BY144" s="74"/>
      <c r="BZ144" s="74"/>
      <c r="CA144" s="74"/>
      <c r="CB144" s="74"/>
      <c r="CC144" s="74"/>
      <c r="CD144" s="74"/>
      <c r="CE144" s="74"/>
      <c r="CF144" s="74"/>
      <c r="CG144" s="74"/>
      <c r="CH144" s="74"/>
    </row>
    <row r="145" spans="2:97">
      <c r="B145" s="102" t="str">
        <f>$B$7</f>
        <v>1 Bed / 1 Bath</v>
      </c>
      <c r="C145" s="103">
        <f t="shared" ref="C145:C164" si="13">AD145+Y145+T145+O145+J145</f>
        <v>35</v>
      </c>
      <c r="D145" s="104" t="str">
        <f>$D$7</f>
        <v>EA</v>
      </c>
      <c r="G145" s="102" t="str">
        <f>$B$7</f>
        <v>1 Bed / 1 Bath</v>
      </c>
      <c r="H145" s="103">
        <v>1</v>
      </c>
      <c r="I145" s="104" t="str">
        <f>$D$7</f>
        <v>EA</v>
      </c>
      <c r="J145" s="104">
        <f t="shared" ref="J145:J164" si="14">ROUNDUP(H145*$H$143,0)</f>
        <v>7</v>
      </c>
      <c r="L145" s="102" t="str">
        <f>$B$7</f>
        <v>1 Bed / 1 Bath</v>
      </c>
      <c r="M145" s="103">
        <v>1</v>
      </c>
      <c r="N145" s="104" t="str">
        <f>$D$7</f>
        <v>EA</v>
      </c>
      <c r="O145" s="104">
        <f t="shared" ref="O145:O164" si="15">ROUNDUP(M145*$M$143,0)</f>
        <v>7</v>
      </c>
      <c r="Q145" s="102" t="str">
        <f>$B$7</f>
        <v>1 Bed / 1 Bath</v>
      </c>
      <c r="R145" s="103">
        <v>1</v>
      </c>
      <c r="S145" s="104" t="str">
        <f>$D$7</f>
        <v>EA</v>
      </c>
      <c r="T145" s="104">
        <f t="shared" ref="T145:T164" si="16">ROUNDUP(R145*$R$143,0)</f>
        <v>7</v>
      </c>
      <c r="V145" s="102" t="str">
        <f>$B$7</f>
        <v>1 Bed / 1 Bath</v>
      </c>
      <c r="W145" s="103">
        <v>1</v>
      </c>
      <c r="X145" s="104" t="str">
        <f>$D$7</f>
        <v>EA</v>
      </c>
      <c r="Y145" s="104">
        <f t="shared" ref="Y145:Y165" si="17">ROUNDUP(W145*$W$143,0)</f>
        <v>7</v>
      </c>
      <c r="AA145" s="102" t="str">
        <f>$B$7</f>
        <v>1 Bed / 1 Bath</v>
      </c>
      <c r="AB145" s="103">
        <v>1</v>
      </c>
      <c r="AC145" s="104" t="str">
        <f>$D$7</f>
        <v>EA</v>
      </c>
      <c r="AD145" s="104">
        <f t="shared" ref="AD145:AD164" si="18">ROUNDUP(AB145*$AB$143,0)</f>
        <v>7</v>
      </c>
    </row>
    <row r="146" spans="2:97">
      <c r="B146" s="105" t="str">
        <f>$B$12</f>
        <v>Double Panel Entry Door</v>
      </c>
      <c r="C146" s="106">
        <f t="shared" si="13"/>
        <v>0</v>
      </c>
      <c r="D146" s="107" t="str">
        <f>$D$12</f>
        <v>EA</v>
      </c>
      <c r="G146" s="105" t="str">
        <f>$B$12</f>
        <v>Double Panel Entry Door</v>
      </c>
      <c r="H146" s="106">
        <v>0</v>
      </c>
      <c r="I146" s="107" t="str">
        <f>$D$12</f>
        <v>EA</v>
      </c>
      <c r="J146" s="107">
        <f t="shared" si="14"/>
        <v>0</v>
      </c>
      <c r="L146" s="105" t="str">
        <f>$B$12</f>
        <v>Double Panel Entry Door</v>
      </c>
      <c r="M146" s="106">
        <v>0</v>
      </c>
      <c r="N146" s="107" t="str">
        <f>$D$12</f>
        <v>EA</v>
      </c>
      <c r="O146" s="107">
        <f t="shared" si="15"/>
        <v>0</v>
      </c>
      <c r="Q146" s="105" t="str">
        <f>$B$12</f>
        <v>Double Panel Entry Door</v>
      </c>
      <c r="R146" s="106">
        <v>0</v>
      </c>
      <c r="S146" s="107" t="str">
        <f>$D$12</f>
        <v>EA</v>
      </c>
      <c r="T146" s="107">
        <f t="shared" si="16"/>
        <v>0</v>
      </c>
      <c r="V146" s="105" t="str">
        <f>$B$12</f>
        <v>Double Panel Entry Door</v>
      </c>
      <c r="W146" s="106">
        <v>0</v>
      </c>
      <c r="X146" s="107" t="str">
        <f>$D$12</f>
        <v>EA</v>
      </c>
      <c r="Y146" s="107">
        <f t="shared" si="17"/>
        <v>0</v>
      </c>
      <c r="AA146" s="105" t="str">
        <f>$B$12</f>
        <v>Double Panel Entry Door</v>
      </c>
      <c r="AB146" s="106">
        <v>0</v>
      </c>
      <c r="AC146" s="107" t="str">
        <f>$D$12</f>
        <v>EA</v>
      </c>
      <c r="AD146" s="107">
        <f t="shared" si="18"/>
        <v>0</v>
      </c>
    </row>
    <row r="147" spans="2:97">
      <c r="B147" s="105" t="str">
        <f>$B$14</f>
        <v>Double Panel Interior Door</v>
      </c>
      <c r="C147" s="106">
        <f t="shared" si="13"/>
        <v>35</v>
      </c>
      <c r="D147" s="107" t="str">
        <f>$D$14</f>
        <v>EA</v>
      </c>
      <c r="G147" s="105" t="str">
        <f>$B$14</f>
        <v>Double Panel Interior Door</v>
      </c>
      <c r="H147" s="106">
        <v>1</v>
      </c>
      <c r="I147" s="107" t="str">
        <f>$D$14</f>
        <v>EA</v>
      </c>
      <c r="J147" s="107">
        <f t="shared" si="14"/>
        <v>7</v>
      </c>
      <c r="L147" s="105" t="str">
        <f>$B$14</f>
        <v>Double Panel Interior Door</v>
      </c>
      <c r="M147" s="106">
        <v>1</v>
      </c>
      <c r="N147" s="107" t="str">
        <f>$D$14</f>
        <v>EA</v>
      </c>
      <c r="O147" s="107">
        <f t="shared" si="15"/>
        <v>7</v>
      </c>
      <c r="Q147" s="105" t="str">
        <f>$B$14</f>
        <v>Double Panel Interior Door</v>
      </c>
      <c r="R147" s="106">
        <v>1</v>
      </c>
      <c r="S147" s="107" t="str">
        <f>$D$14</f>
        <v>EA</v>
      </c>
      <c r="T147" s="107">
        <f t="shared" si="16"/>
        <v>7</v>
      </c>
      <c r="V147" s="105" t="str">
        <f>$B$14</f>
        <v>Double Panel Interior Door</v>
      </c>
      <c r="W147" s="106">
        <v>1</v>
      </c>
      <c r="X147" s="107" t="str">
        <f>$D$14</f>
        <v>EA</v>
      </c>
      <c r="Y147" s="107">
        <f t="shared" si="17"/>
        <v>7</v>
      </c>
      <c r="AA147" s="105" t="str">
        <f>$B$14</f>
        <v>Double Panel Interior Door</v>
      </c>
      <c r="AB147" s="106">
        <v>1</v>
      </c>
      <c r="AC147" s="107" t="str">
        <f>$D$14</f>
        <v>EA</v>
      </c>
      <c r="AD147" s="107">
        <f t="shared" si="18"/>
        <v>7</v>
      </c>
    </row>
    <row r="148" spans="2:97">
      <c r="B148" s="105" t="str">
        <f>$B$16</f>
        <v>Single Panel Balcony Door</v>
      </c>
      <c r="C148" s="106">
        <f t="shared" si="13"/>
        <v>0</v>
      </c>
      <c r="D148" s="107" t="str">
        <f>$D$16</f>
        <v>EA</v>
      </c>
      <c r="G148" s="105" t="str">
        <f>$B$16</f>
        <v>Single Panel Balcony Door</v>
      </c>
      <c r="H148" s="106">
        <v>0</v>
      </c>
      <c r="I148" s="107" t="str">
        <f>$D$16</f>
        <v>EA</v>
      </c>
      <c r="J148" s="107">
        <f t="shared" si="14"/>
        <v>0</v>
      </c>
      <c r="L148" s="105" t="str">
        <f>$B$16</f>
        <v>Single Panel Balcony Door</v>
      </c>
      <c r="M148" s="106">
        <v>0</v>
      </c>
      <c r="N148" s="107" t="str">
        <f>$D$16</f>
        <v>EA</v>
      </c>
      <c r="O148" s="107">
        <f t="shared" si="15"/>
        <v>0</v>
      </c>
      <c r="Q148" s="105" t="str">
        <f>$B$16</f>
        <v>Single Panel Balcony Door</v>
      </c>
      <c r="R148" s="106">
        <v>0</v>
      </c>
      <c r="S148" s="107" t="str">
        <f>$D$16</f>
        <v>EA</v>
      </c>
      <c r="T148" s="107">
        <f t="shared" si="16"/>
        <v>0</v>
      </c>
      <c r="V148" s="105" t="str">
        <f>$B$16</f>
        <v>Single Panel Balcony Door</v>
      </c>
      <c r="W148" s="106">
        <v>0</v>
      </c>
      <c r="X148" s="107" t="str">
        <f>$D$16</f>
        <v>EA</v>
      </c>
      <c r="Y148" s="107">
        <f t="shared" si="17"/>
        <v>0</v>
      </c>
      <c r="AA148" s="105" t="str">
        <f>$B$16</f>
        <v>Single Panel Balcony Door</v>
      </c>
      <c r="AB148" s="106">
        <v>0</v>
      </c>
      <c r="AC148" s="107" t="str">
        <f>$D$16</f>
        <v>EA</v>
      </c>
      <c r="AD148" s="107">
        <f t="shared" si="18"/>
        <v>0</v>
      </c>
    </row>
    <row r="149" spans="2:97" s="72" customFormat="1">
      <c r="B149" s="105" t="str">
        <f>$B$18</f>
        <v>Single Panel Entry Door</v>
      </c>
      <c r="C149" s="106">
        <f t="shared" si="13"/>
        <v>35</v>
      </c>
      <c r="D149" s="107" t="str">
        <f>$D$18</f>
        <v>EA</v>
      </c>
      <c r="G149" s="105" t="str">
        <f>$B$18</f>
        <v>Single Panel Entry Door</v>
      </c>
      <c r="H149" s="106">
        <v>1</v>
      </c>
      <c r="I149" s="107" t="str">
        <f>$D$18</f>
        <v>EA</v>
      </c>
      <c r="J149" s="107">
        <f t="shared" si="14"/>
        <v>7</v>
      </c>
      <c r="L149" s="105" t="str">
        <f>$B$18</f>
        <v>Single Panel Entry Door</v>
      </c>
      <c r="M149" s="106">
        <v>1</v>
      </c>
      <c r="N149" s="107" t="str">
        <f>$D$18</f>
        <v>EA</v>
      </c>
      <c r="O149" s="107">
        <f t="shared" si="15"/>
        <v>7</v>
      </c>
      <c r="Q149" s="105" t="str">
        <f>$B$18</f>
        <v>Single Panel Entry Door</v>
      </c>
      <c r="R149" s="106">
        <v>1</v>
      </c>
      <c r="S149" s="107" t="str">
        <f>$D$18</f>
        <v>EA</v>
      </c>
      <c r="T149" s="107">
        <f t="shared" si="16"/>
        <v>7</v>
      </c>
      <c r="V149" s="105" t="str">
        <f>$B$18</f>
        <v>Single Panel Entry Door</v>
      </c>
      <c r="W149" s="106">
        <v>1</v>
      </c>
      <c r="X149" s="107" t="str">
        <f>$D$18</f>
        <v>EA</v>
      </c>
      <c r="Y149" s="107">
        <f t="shared" si="17"/>
        <v>7</v>
      </c>
      <c r="AA149" s="105" t="str">
        <f>$B$18</f>
        <v>Single Panel Entry Door</v>
      </c>
      <c r="AB149" s="106">
        <v>1</v>
      </c>
      <c r="AC149" s="107" t="str">
        <f>$D$18</f>
        <v>EA</v>
      </c>
      <c r="AD149" s="107">
        <f t="shared" si="18"/>
        <v>7</v>
      </c>
      <c r="CI149" s="76"/>
      <c r="CJ149" s="76"/>
      <c r="CK149" s="76"/>
      <c r="CL149" s="76"/>
      <c r="CM149" s="76"/>
      <c r="CN149" s="76"/>
      <c r="CO149" s="76"/>
      <c r="CP149" s="76"/>
      <c r="CQ149" s="76"/>
      <c r="CR149" s="76"/>
      <c r="CS149" s="76"/>
    </row>
    <row r="150" spans="2:97" s="72" customFormat="1">
      <c r="B150" s="105" t="str">
        <f>$B$20</f>
        <v>Single Panel Interior Door</v>
      </c>
      <c r="C150" s="106">
        <f t="shared" si="13"/>
        <v>35</v>
      </c>
      <c r="D150" s="107" t="str">
        <f>$D$20</f>
        <v>EA</v>
      </c>
      <c r="G150" s="105" t="str">
        <f>$B$20</f>
        <v>Single Panel Interior Door</v>
      </c>
      <c r="H150" s="106">
        <v>1</v>
      </c>
      <c r="I150" s="107" t="str">
        <f>$D$20</f>
        <v>EA</v>
      </c>
      <c r="J150" s="107">
        <f t="shared" si="14"/>
        <v>7</v>
      </c>
      <c r="L150" s="105" t="str">
        <f>$B$20</f>
        <v>Single Panel Interior Door</v>
      </c>
      <c r="M150" s="106">
        <v>1</v>
      </c>
      <c r="N150" s="107" t="str">
        <f>$D$20</f>
        <v>EA</v>
      </c>
      <c r="O150" s="107">
        <f t="shared" si="15"/>
        <v>7</v>
      </c>
      <c r="Q150" s="105" t="str">
        <f>$B$20</f>
        <v>Single Panel Interior Door</v>
      </c>
      <c r="R150" s="106">
        <v>1</v>
      </c>
      <c r="S150" s="107" t="str">
        <f>$D$20</f>
        <v>EA</v>
      </c>
      <c r="T150" s="107">
        <f t="shared" si="16"/>
        <v>7</v>
      </c>
      <c r="V150" s="105" t="str">
        <f>$B$20</f>
        <v>Single Panel Interior Door</v>
      </c>
      <c r="W150" s="106">
        <v>1</v>
      </c>
      <c r="X150" s="107" t="str">
        <f>$D$20</f>
        <v>EA</v>
      </c>
      <c r="Y150" s="107">
        <f t="shared" si="17"/>
        <v>7</v>
      </c>
      <c r="AA150" s="105" t="str">
        <f>$B$20</f>
        <v>Single Panel Interior Door</v>
      </c>
      <c r="AB150" s="106">
        <v>1</v>
      </c>
      <c r="AC150" s="107" t="str">
        <f>$D$20</f>
        <v>EA</v>
      </c>
      <c r="AD150" s="107">
        <f t="shared" si="18"/>
        <v>7</v>
      </c>
      <c r="CI150" s="76"/>
      <c r="CJ150" s="76"/>
      <c r="CK150" s="76"/>
      <c r="CL150" s="76"/>
      <c r="CM150" s="76"/>
      <c r="CN150" s="76"/>
      <c r="CO150" s="76"/>
      <c r="CP150" s="76"/>
      <c r="CQ150" s="76"/>
      <c r="CR150" s="76"/>
      <c r="CS150" s="76"/>
    </row>
    <row r="151" spans="2:97" s="72" customFormat="1">
      <c r="B151" s="105" t="str">
        <f>$B$25</f>
        <v>Skim Coat Gypsum Plaster Ceiling</v>
      </c>
      <c r="C151" s="106">
        <f t="shared" si="13"/>
        <v>13125</v>
      </c>
      <c r="D151" s="107" t="str">
        <f>$D$25</f>
        <v>SF</v>
      </c>
      <c r="G151" s="105" t="str">
        <f>$B$25</f>
        <v>Skim Coat Gypsum Plaster Ceiling</v>
      </c>
      <c r="H151" s="106">
        <v>375</v>
      </c>
      <c r="I151" s="107" t="str">
        <f>$D$25</f>
        <v>SF</v>
      </c>
      <c r="J151" s="107">
        <f t="shared" si="14"/>
        <v>2625</v>
      </c>
      <c r="L151" s="105" t="str">
        <f>$B$25</f>
        <v>Skim Coat Gypsum Plaster Ceiling</v>
      </c>
      <c r="M151" s="106">
        <v>375</v>
      </c>
      <c r="N151" s="107" t="str">
        <f>$D$25</f>
        <v>SF</v>
      </c>
      <c r="O151" s="107">
        <f t="shared" si="15"/>
        <v>2625</v>
      </c>
      <c r="Q151" s="105" t="str">
        <f>$B$25</f>
        <v>Skim Coat Gypsum Plaster Ceiling</v>
      </c>
      <c r="R151" s="106">
        <v>375</v>
      </c>
      <c r="S151" s="107" t="str">
        <f>$D$25</f>
        <v>SF</v>
      </c>
      <c r="T151" s="107">
        <f t="shared" si="16"/>
        <v>2625</v>
      </c>
      <c r="V151" s="105" t="str">
        <f>$B$25</f>
        <v>Skim Coat Gypsum Plaster Ceiling</v>
      </c>
      <c r="W151" s="106">
        <v>375</v>
      </c>
      <c r="X151" s="107" t="str">
        <f>$D$25</f>
        <v>SF</v>
      </c>
      <c r="Y151" s="107">
        <f t="shared" si="17"/>
        <v>2625</v>
      </c>
      <c r="AA151" s="105" t="str">
        <f>$B$25</f>
        <v>Skim Coat Gypsum Plaster Ceiling</v>
      </c>
      <c r="AB151" s="106">
        <v>375</v>
      </c>
      <c r="AC151" s="107" t="str">
        <f>$D$25</f>
        <v>SF</v>
      </c>
      <c r="AD151" s="107">
        <f t="shared" si="18"/>
        <v>2625</v>
      </c>
      <c r="CI151" s="76"/>
      <c r="CJ151" s="76"/>
      <c r="CK151" s="76"/>
      <c r="CL151" s="76"/>
      <c r="CM151" s="76"/>
      <c r="CN151" s="76"/>
      <c r="CO151" s="76"/>
      <c r="CP151" s="76"/>
      <c r="CQ151" s="76"/>
      <c r="CR151" s="76"/>
      <c r="CS151" s="76"/>
    </row>
    <row r="152" spans="2:97" s="72" customFormat="1">
      <c r="B152" s="105" t="str">
        <f>$B$29</f>
        <v>Floor Finish @ Bathroom</v>
      </c>
      <c r="C152" s="106">
        <f t="shared" si="13"/>
        <v>4235</v>
      </c>
      <c r="D152" s="107" t="str">
        <f>$D$29</f>
        <v>SF</v>
      </c>
      <c r="G152" s="105" t="str">
        <f>$B$29</f>
        <v>Floor Finish @ Bathroom</v>
      </c>
      <c r="H152" s="106">
        <v>121</v>
      </c>
      <c r="I152" s="107" t="str">
        <f>$D$29</f>
        <v>SF</v>
      </c>
      <c r="J152" s="107">
        <f t="shared" si="14"/>
        <v>847</v>
      </c>
      <c r="L152" s="105" t="str">
        <f>$B$29</f>
        <v>Floor Finish @ Bathroom</v>
      </c>
      <c r="M152" s="106">
        <v>121</v>
      </c>
      <c r="N152" s="107" t="str">
        <f>$D$29</f>
        <v>SF</v>
      </c>
      <c r="O152" s="107">
        <f t="shared" si="15"/>
        <v>847</v>
      </c>
      <c r="Q152" s="105" t="str">
        <f>$B$29</f>
        <v>Floor Finish @ Bathroom</v>
      </c>
      <c r="R152" s="106">
        <v>121</v>
      </c>
      <c r="S152" s="107" t="str">
        <f>$D$29</f>
        <v>SF</v>
      </c>
      <c r="T152" s="107">
        <f t="shared" si="16"/>
        <v>847</v>
      </c>
      <c r="V152" s="105" t="str">
        <f>$B$29</f>
        <v>Floor Finish @ Bathroom</v>
      </c>
      <c r="W152" s="106">
        <v>121</v>
      </c>
      <c r="X152" s="107" t="str">
        <f>$D$29</f>
        <v>SF</v>
      </c>
      <c r="Y152" s="107">
        <f t="shared" si="17"/>
        <v>847</v>
      </c>
      <c r="AA152" s="105" t="str">
        <f>$B$29</f>
        <v>Floor Finish @ Bathroom</v>
      </c>
      <c r="AB152" s="106">
        <v>121</v>
      </c>
      <c r="AC152" s="107" t="str">
        <f>$D$29</f>
        <v>SF</v>
      </c>
      <c r="AD152" s="107">
        <f t="shared" si="18"/>
        <v>847</v>
      </c>
      <c r="CI152" s="76"/>
      <c r="CJ152" s="76"/>
      <c r="CK152" s="76"/>
      <c r="CL152" s="76"/>
      <c r="CM152" s="76"/>
      <c r="CN152" s="76"/>
      <c r="CO152" s="76"/>
      <c r="CP152" s="76"/>
      <c r="CQ152" s="76"/>
      <c r="CR152" s="76"/>
      <c r="CS152" s="76"/>
    </row>
    <row r="153" spans="2:97" s="72" customFormat="1">
      <c r="B153" s="105" t="str">
        <f>$B$31</f>
        <v>Floor Finish @ Bedroom</v>
      </c>
      <c r="C153" s="106">
        <f t="shared" si="13"/>
        <v>8190</v>
      </c>
      <c r="D153" s="107" t="str">
        <f>$D$31</f>
        <v>SF</v>
      </c>
      <c r="G153" s="105" t="str">
        <f>$B$31</f>
        <v>Floor Finish @ Bedroom</v>
      </c>
      <c r="H153" s="106">
        <v>234</v>
      </c>
      <c r="I153" s="107" t="str">
        <f>$D$31</f>
        <v>SF</v>
      </c>
      <c r="J153" s="107">
        <f t="shared" si="14"/>
        <v>1638</v>
      </c>
      <c r="L153" s="105" t="str">
        <f>$B$31</f>
        <v>Floor Finish @ Bedroom</v>
      </c>
      <c r="M153" s="106">
        <v>234</v>
      </c>
      <c r="N153" s="107" t="str">
        <f>$D$31</f>
        <v>SF</v>
      </c>
      <c r="O153" s="107">
        <f t="shared" si="15"/>
        <v>1638</v>
      </c>
      <c r="Q153" s="105" t="str">
        <f>$B$31</f>
        <v>Floor Finish @ Bedroom</v>
      </c>
      <c r="R153" s="106">
        <v>234</v>
      </c>
      <c r="S153" s="107" t="str">
        <f>$D$31</f>
        <v>SF</v>
      </c>
      <c r="T153" s="107">
        <f t="shared" si="16"/>
        <v>1638</v>
      </c>
      <c r="V153" s="105" t="str">
        <f>$B$31</f>
        <v>Floor Finish @ Bedroom</v>
      </c>
      <c r="W153" s="106">
        <v>234</v>
      </c>
      <c r="X153" s="107" t="str">
        <f>$D$31</f>
        <v>SF</v>
      </c>
      <c r="Y153" s="107">
        <f t="shared" si="17"/>
        <v>1638</v>
      </c>
      <c r="AA153" s="105" t="str">
        <f>$B$31</f>
        <v>Floor Finish @ Bedroom</v>
      </c>
      <c r="AB153" s="106">
        <v>234</v>
      </c>
      <c r="AC153" s="107" t="str">
        <f>$D$31</f>
        <v>SF</v>
      </c>
      <c r="AD153" s="107">
        <f t="shared" si="18"/>
        <v>1638</v>
      </c>
      <c r="CI153" s="76"/>
      <c r="CJ153" s="76"/>
      <c r="CK153" s="76"/>
      <c r="CL153" s="76"/>
      <c r="CM153" s="76"/>
      <c r="CN153" s="76"/>
      <c r="CO153" s="76"/>
      <c r="CP153" s="76"/>
      <c r="CQ153" s="76"/>
      <c r="CR153" s="76"/>
      <c r="CS153" s="76"/>
    </row>
    <row r="154" spans="2:97" s="72" customFormat="1">
      <c r="B154" s="105" t="str">
        <f>$B$33</f>
        <v>Floor Finish @ Closet</v>
      </c>
      <c r="C154" s="106">
        <f t="shared" si="13"/>
        <v>385</v>
      </c>
      <c r="D154" s="107" t="str">
        <f>$D$33</f>
        <v>SF</v>
      </c>
      <c r="G154" s="105" t="str">
        <f>$B$33</f>
        <v>Floor Finish @ Closet</v>
      </c>
      <c r="H154" s="106">
        <v>11</v>
      </c>
      <c r="I154" s="107" t="str">
        <f>$D$33</f>
        <v>SF</v>
      </c>
      <c r="J154" s="107">
        <f t="shared" si="14"/>
        <v>77</v>
      </c>
      <c r="L154" s="105" t="str">
        <f>$B$33</f>
        <v>Floor Finish @ Closet</v>
      </c>
      <c r="M154" s="106">
        <v>11</v>
      </c>
      <c r="N154" s="107" t="str">
        <f>$D$33</f>
        <v>SF</v>
      </c>
      <c r="O154" s="107">
        <f t="shared" si="15"/>
        <v>77</v>
      </c>
      <c r="Q154" s="105" t="str">
        <f>$B$33</f>
        <v>Floor Finish @ Closet</v>
      </c>
      <c r="R154" s="106">
        <v>11</v>
      </c>
      <c r="S154" s="107" t="str">
        <f>$D$33</f>
        <v>SF</v>
      </c>
      <c r="T154" s="107">
        <f t="shared" si="16"/>
        <v>77</v>
      </c>
      <c r="V154" s="105" t="str">
        <f>$B$33</f>
        <v>Floor Finish @ Closet</v>
      </c>
      <c r="W154" s="106">
        <v>11</v>
      </c>
      <c r="X154" s="107" t="str">
        <f>$D$33</f>
        <v>SF</v>
      </c>
      <c r="Y154" s="107">
        <f t="shared" si="17"/>
        <v>77</v>
      </c>
      <c r="AA154" s="105" t="str">
        <f>$B$33</f>
        <v>Floor Finish @ Closet</v>
      </c>
      <c r="AB154" s="106">
        <v>11</v>
      </c>
      <c r="AC154" s="107" t="str">
        <f>$D$33</f>
        <v>SF</v>
      </c>
      <c r="AD154" s="107">
        <f t="shared" si="18"/>
        <v>77</v>
      </c>
      <c r="CI154" s="76"/>
      <c r="CJ154" s="76"/>
      <c r="CK154" s="76"/>
      <c r="CL154" s="76"/>
      <c r="CM154" s="76"/>
      <c r="CN154" s="76"/>
      <c r="CO154" s="76"/>
      <c r="CP154" s="76"/>
      <c r="CQ154" s="76"/>
      <c r="CR154" s="76"/>
      <c r="CS154" s="76"/>
    </row>
    <row r="155" spans="2:97" s="72" customFormat="1">
      <c r="B155" s="105" t="str">
        <f>$B$35</f>
        <v>Floor Finish @ Hall</v>
      </c>
      <c r="C155" s="106">
        <f t="shared" si="13"/>
        <v>0</v>
      </c>
      <c r="D155" s="107" t="str">
        <f>$D$35</f>
        <v>SF</v>
      </c>
      <c r="G155" s="105" t="str">
        <f>$B$35</f>
        <v>Floor Finish @ Hall</v>
      </c>
      <c r="H155" s="106">
        <v>0</v>
      </c>
      <c r="I155" s="107" t="str">
        <f>$D$35</f>
        <v>SF</v>
      </c>
      <c r="J155" s="107">
        <f t="shared" si="14"/>
        <v>0</v>
      </c>
      <c r="L155" s="105" t="str">
        <f>$B$35</f>
        <v>Floor Finish @ Hall</v>
      </c>
      <c r="M155" s="106">
        <v>0</v>
      </c>
      <c r="N155" s="107" t="str">
        <f>$D$35</f>
        <v>SF</v>
      </c>
      <c r="O155" s="107">
        <f t="shared" si="15"/>
        <v>0</v>
      </c>
      <c r="Q155" s="105" t="str">
        <f>$B$35</f>
        <v>Floor Finish @ Hall</v>
      </c>
      <c r="R155" s="106">
        <v>0</v>
      </c>
      <c r="S155" s="107" t="str">
        <f>$D$35</f>
        <v>SF</v>
      </c>
      <c r="T155" s="107">
        <f t="shared" si="16"/>
        <v>0</v>
      </c>
      <c r="V155" s="105" t="str">
        <f>$B$35</f>
        <v>Floor Finish @ Hall</v>
      </c>
      <c r="W155" s="106">
        <v>0</v>
      </c>
      <c r="X155" s="107" t="str">
        <f>$D$35</f>
        <v>SF</v>
      </c>
      <c r="Y155" s="107">
        <f t="shared" si="17"/>
        <v>0</v>
      </c>
      <c r="AA155" s="105" t="str">
        <f>$B$35</f>
        <v>Floor Finish @ Hall</v>
      </c>
      <c r="AB155" s="106">
        <v>0</v>
      </c>
      <c r="AC155" s="107" t="str">
        <f>$D$35</f>
        <v>SF</v>
      </c>
      <c r="AD155" s="107">
        <f t="shared" si="18"/>
        <v>0</v>
      </c>
      <c r="CI155" s="76"/>
      <c r="CJ155" s="76"/>
      <c r="CK155" s="76"/>
      <c r="CL155" s="76"/>
      <c r="CM155" s="76"/>
      <c r="CN155" s="76"/>
      <c r="CO155" s="76"/>
      <c r="CP155" s="76"/>
      <c r="CQ155" s="76"/>
      <c r="CR155" s="76"/>
      <c r="CS155" s="76"/>
    </row>
    <row r="156" spans="2:97" s="72" customFormat="1">
      <c r="B156" s="105" t="str">
        <f>$B$37</f>
        <v>Floor Finish @ Shower</v>
      </c>
      <c r="C156" s="106">
        <f t="shared" si="13"/>
        <v>490</v>
      </c>
      <c r="D156" s="107" t="str">
        <f>$D$37</f>
        <v>SF</v>
      </c>
      <c r="G156" s="105" t="str">
        <f>$B$37</f>
        <v>Floor Finish @ Shower</v>
      </c>
      <c r="H156" s="106">
        <v>14</v>
      </c>
      <c r="I156" s="107" t="str">
        <f>$D$37</f>
        <v>SF</v>
      </c>
      <c r="J156" s="107">
        <f t="shared" si="14"/>
        <v>98</v>
      </c>
      <c r="L156" s="105" t="str">
        <f>$B$37</f>
        <v>Floor Finish @ Shower</v>
      </c>
      <c r="M156" s="106">
        <v>14</v>
      </c>
      <c r="N156" s="107" t="str">
        <f>$D$37</f>
        <v>SF</v>
      </c>
      <c r="O156" s="107">
        <f t="shared" si="15"/>
        <v>98</v>
      </c>
      <c r="Q156" s="105" t="str">
        <f>$B$37</f>
        <v>Floor Finish @ Shower</v>
      </c>
      <c r="R156" s="106">
        <v>14</v>
      </c>
      <c r="S156" s="107" t="str">
        <f>$D$37</f>
        <v>SF</v>
      </c>
      <c r="T156" s="107">
        <f t="shared" si="16"/>
        <v>98</v>
      </c>
      <c r="V156" s="105" t="str">
        <f>$B$37</f>
        <v>Floor Finish @ Shower</v>
      </c>
      <c r="W156" s="106">
        <v>14</v>
      </c>
      <c r="X156" s="107" t="str">
        <f>$D$37</f>
        <v>SF</v>
      </c>
      <c r="Y156" s="107">
        <f t="shared" si="17"/>
        <v>98</v>
      </c>
      <c r="AA156" s="105" t="str">
        <f>$B$37</f>
        <v>Floor Finish @ Shower</v>
      </c>
      <c r="AB156" s="106">
        <v>14</v>
      </c>
      <c r="AC156" s="107" t="str">
        <f>$D$37</f>
        <v>SF</v>
      </c>
      <c r="AD156" s="107">
        <f t="shared" si="18"/>
        <v>98</v>
      </c>
      <c r="CI156" s="76"/>
      <c r="CJ156" s="76"/>
      <c r="CK156" s="76"/>
      <c r="CL156" s="76"/>
      <c r="CM156" s="76"/>
      <c r="CN156" s="76"/>
      <c r="CO156" s="76"/>
      <c r="CP156" s="76"/>
      <c r="CQ156" s="76"/>
      <c r="CR156" s="76"/>
      <c r="CS156" s="76"/>
    </row>
    <row r="157" spans="2:97" s="72" customFormat="1">
      <c r="B157" s="105" t="str">
        <f>$B$41</f>
        <v>Wall Base</v>
      </c>
      <c r="C157" s="106">
        <f t="shared" si="13"/>
        <v>3980</v>
      </c>
      <c r="D157" s="107" t="str">
        <f>$D$41</f>
        <v>LF</v>
      </c>
      <c r="G157" s="105" t="str">
        <f>$B$41</f>
        <v>Wall Base</v>
      </c>
      <c r="H157" s="106">
        <v>113.67</v>
      </c>
      <c r="I157" s="107" t="str">
        <f>$D$41</f>
        <v>LF</v>
      </c>
      <c r="J157" s="107">
        <f t="shared" si="14"/>
        <v>796</v>
      </c>
      <c r="L157" s="105" t="str">
        <f>$B$41</f>
        <v>Wall Base</v>
      </c>
      <c r="M157" s="106">
        <v>113.67</v>
      </c>
      <c r="N157" s="107" t="str">
        <f>$D$41</f>
        <v>LF</v>
      </c>
      <c r="O157" s="107">
        <f t="shared" si="15"/>
        <v>796</v>
      </c>
      <c r="Q157" s="105" t="str">
        <f>$B$41</f>
        <v>Wall Base</v>
      </c>
      <c r="R157" s="106">
        <v>113.67</v>
      </c>
      <c r="S157" s="107" t="str">
        <f>$D$41</f>
        <v>LF</v>
      </c>
      <c r="T157" s="107">
        <f t="shared" si="16"/>
        <v>796</v>
      </c>
      <c r="V157" s="105" t="str">
        <f>$B$41</f>
        <v>Wall Base</v>
      </c>
      <c r="W157" s="106">
        <v>113.67</v>
      </c>
      <c r="X157" s="107" t="str">
        <f>$D$41</f>
        <v>LF</v>
      </c>
      <c r="Y157" s="107">
        <f t="shared" si="17"/>
        <v>796</v>
      </c>
      <c r="AA157" s="105" t="str">
        <f>$B$41</f>
        <v>Wall Base</v>
      </c>
      <c r="AB157" s="106">
        <v>113.67</v>
      </c>
      <c r="AC157" s="107" t="str">
        <f>$D$41</f>
        <v>LF</v>
      </c>
      <c r="AD157" s="107">
        <f t="shared" si="18"/>
        <v>796</v>
      </c>
      <c r="CI157" s="76"/>
      <c r="CJ157" s="76"/>
      <c r="CK157" s="76"/>
      <c r="CL157" s="76"/>
      <c r="CM157" s="76"/>
      <c r="CN157" s="76"/>
      <c r="CO157" s="76"/>
      <c r="CP157" s="76"/>
      <c r="CQ157" s="76"/>
      <c r="CR157" s="76"/>
      <c r="CS157" s="76"/>
    </row>
    <row r="158" spans="2:97" s="72" customFormat="1">
      <c r="B158" s="105" t="str">
        <f>$B$45</f>
        <v>Wall Tile @ Bathroom @ Ht. 9'0" (Assumed)</v>
      </c>
      <c r="C158" s="106">
        <f t="shared" si="13"/>
        <v>395</v>
      </c>
      <c r="D158" s="107" t="str">
        <f>$D$45</f>
        <v>LF</v>
      </c>
      <c r="G158" s="105" t="str">
        <f>$B$45</f>
        <v>Wall Tile @ Bathroom @ Ht. 9'0" (Assumed)</v>
      </c>
      <c r="H158" s="106">
        <v>11.24</v>
      </c>
      <c r="I158" s="107" t="str">
        <f>$D$45</f>
        <v>LF</v>
      </c>
      <c r="J158" s="107">
        <f t="shared" si="14"/>
        <v>79</v>
      </c>
      <c r="L158" s="105" t="str">
        <f>$B$45</f>
        <v>Wall Tile @ Bathroom @ Ht. 9'0" (Assumed)</v>
      </c>
      <c r="M158" s="106">
        <v>11.24</v>
      </c>
      <c r="N158" s="107" t="str">
        <f>$D$45</f>
        <v>LF</v>
      </c>
      <c r="O158" s="107">
        <f t="shared" si="15"/>
        <v>79</v>
      </c>
      <c r="Q158" s="105" t="str">
        <f>$B$45</f>
        <v>Wall Tile @ Bathroom @ Ht. 9'0" (Assumed)</v>
      </c>
      <c r="R158" s="106">
        <v>11.24</v>
      </c>
      <c r="S158" s="107" t="str">
        <f>$D$45</f>
        <v>LF</v>
      </c>
      <c r="T158" s="107">
        <f t="shared" si="16"/>
        <v>79</v>
      </c>
      <c r="V158" s="105" t="str">
        <f>$B$45</f>
        <v>Wall Tile @ Bathroom @ Ht. 9'0" (Assumed)</v>
      </c>
      <c r="W158" s="106">
        <v>11.24</v>
      </c>
      <c r="X158" s="107" t="str">
        <f>$D$45</f>
        <v>LF</v>
      </c>
      <c r="Y158" s="107">
        <f t="shared" si="17"/>
        <v>79</v>
      </c>
      <c r="AA158" s="105" t="str">
        <f>$B$45</f>
        <v>Wall Tile @ Bathroom @ Ht. 9'0" (Assumed)</v>
      </c>
      <c r="AB158" s="106">
        <v>11.24</v>
      </c>
      <c r="AC158" s="107" t="str">
        <f>$D$45</f>
        <v>LF</v>
      </c>
      <c r="AD158" s="107">
        <f t="shared" si="18"/>
        <v>79</v>
      </c>
      <c r="CI158" s="76"/>
      <c r="CJ158" s="76"/>
      <c r="CK158" s="76"/>
      <c r="CL158" s="76"/>
      <c r="CM158" s="76"/>
      <c r="CN158" s="76"/>
      <c r="CO158" s="76"/>
      <c r="CP158" s="76"/>
      <c r="CQ158" s="76"/>
      <c r="CR158" s="76"/>
      <c r="CS158" s="76"/>
    </row>
    <row r="159" spans="2:97" s="72" customFormat="1">
      <c r="B159" s="105" t="str">
        <f>$B$50</f>
        <v>Shower Enclosure Door W/ Partition</v>
      </c>
      <c r="C159" s="106">
        <f t="shared" si="13"/>
        <v>35</v>
      </c>
      <c r="D159" s="107" t="str">
        <f>$D$50</f>
        <v>EA</v>
      </c>
      <c r="G159" s="105" t="str">
        <f>$B$50</f>
        <v>Shower Enclosure Door W/ Partition</v>
      </c>
      <c r="H159" s="106">
        <v>1</v>
      </c>
      <c r="I159" s="107" t="str">
        <f>$D$50</f>
        <v>EA</v>
      </c>
      <c r="J159" s="107">
        <f t="shared" si="14"/>
        <v>7</v>
      </c>
      <c r="L159" s="105" t="str">
        <f>$B$50</f>
        <v>Shower Enclosure Door W/ Partition</v>
      </c>
      <c r="M159" s="106">
        <v>1</v>
      </c>
      <c r="N159" s="107" t="str">
        <f>$D$50</f>
        <v>EA</v>
      </c>
      <c r="O159" s="107">
        <f t="shared" si="15"/>
        <v>7</v>
      </c>
      <c r="Q159" s="105" t="str">
        <f>$B$50</f>
        <v>Shower Enclosure Door W/ Partition</v>
      </c>
      <c r="R159" s="106">
        <v>1</v>
      </c>
      <c r="S159" s="107" t="str">
        <f>$D$50</f>
        <v>EA</v>
      </c>
      <c r="T159" s="107">
        <f t="shared" si="16"/>
        <v>7</v>
      </c>
      <c r="V159" s="105" t="str">
        <f>$B$50</f>
        <v>Shower Enclosure Door W/ Partition</v>
      </c>
      <c r="W159" s="106">
        <v>1</v>
      </c>
      <c r="X159" s="107" t="str">
        <f>$D$50</f>
        <v>EA</v>
      </c>
      <c r="Y159" s="107">
        <f t="shared" si="17"/>
        <v>7</v>
      </c>
      <c r="AA159" s="105" t="str">
        <f>$B$50</f>
        <v>Shower Enclosure Door W/ Partition</v>
      </c>
      <c r="AB159" s="106">
        <v>1</v>
      </c>
      <c r="AC159" s="107" t="str">
        <f>$D$50</f>
        <v>EA</v>
      </c>
      <c r="AD159" s="107">
        <f t="shared" si="18"/>
        <v>7</v>
      </c>
      <c r="CI159" s="76"/>
      <c r="CJ159" s="76"/>
      <c r="CK159" s="76"/>
      <c r="CL159" s="76"/>
      <c r="CM159" s="76"/>
      <c r="CN159" s="76"/>
      <c r="CO159" s="76"/>
      <c r="CP159" s="76"/>
      <c r="CQ159" s="76"/>
      <c r="CR159" s="76"/>
      <c r="CS159" s="76"/>
    </row>
    <row r="160" spans="2:97" s="72" customFormat="1">
      <c r="B160" s="105" t="str">
        <f>$B$52</f>
        <v>Lavatory</v>
      </c>
      <c r="C160" s="106">
        <f t="shared" si="13"/>
        <v>35</v>
      </c>
      <c r="D160" s="107" t="str">
        <f>$D$52</f>
        <v>EA</v>
      </c>
      <c r="G160" s="105" t="str">
        <f>$B$52</f>
        <v>Lavatory</v>
      </c>
      <c r="H160" s="106">
        <v>1</v>
      </c>
      <c r="I160" s="107" t="str">
        <f>$D$52</f>
        <v>EA</v>
      </c>
      <c r="J160" s="107">
        <f t="shared" si="14"/>
        <v>7</v>
      </c>
      <c r="L160" s="105" t="str">
        <f>$B$52</f>
        <v>Lavatory</v>
      </c>
      <c r="M160" s="106">
        <v>1</v>
      </c>
      <c r="N160" s="107" t="str">
        <f>$D$52</f>
        <v>EA</v>
      </c>
      <c r="O160" s="107">
        <f t="shared" si="15"/>
        <v>7</v>
      </c>
      <c r="Q160" s="105" t="str">
        <f>$B$52</f>
        <v>Lavatory</v>
      </c>
      <c r="R160" s="106">
        <v>1</v>
      </c>
      <c r="S160" s="107" t="str">
        <f>$D$52</f>
        <v>EA</v>
      </c>
      <c r="T160" s="107">
        <f t="shared" si="16"/>
        <v>7</v>
      </c>
      <c r="V160" s="105" t="str">
        <f>$B$52</f>
        <v>Lavatory</v>
      </c>
      <c r="W160" s="106">
        <v>1</v>
      </c>
      <c r="X160" s="107" t="str">
        <f>$D$52</f>
        <v>EA</v>
      </c>
      <c r="Y160" s="107">
        <f t="shared" si="17"/>
        <v>7</v>
      </c>
      <c r="AA160" s="105" t="str">
        <f>$B$52</f>
        <v>Lavatory</v>
      </c>
      <c r="AB160" s="106">
        <v>1</v>
      </c>
      <c r="AC160" s="107" t="str">
        <f>$D$52</f>
        <v>EA</v>
      </c>
      <c r="AD160" s="107">
        <f t="shared" si="18"/>
        <v>7</v>
      </c>
      <c r="CI160" s="76"/>
      <c r="CJ160" s="76"/>
      <c r="CK160" s="76"/>
      <c r="CL160" s="76"/>
      <c r="CM160" s="76"/>
      <c r="CN160" s="76"/>
      <c r="CO160" s="76"/>
      <c r="CP160" s="76"/>
      <c r="CQ160" s="76"/>
      <c r="CR160" s="76"/>
      <c r="CS160" s="76"/>
    </row>
    <row r="161" spans="1:97" s="72" customFormat="1">
      <c r="B161" s="105" t="str">
        <f>$B$54</f>
        <v>Shower</v>
      </c>
      <c r="C161" s="106">
        <f t="shared" si="13"/>
        <v>35</v>
      </c>
      <c r="D161" s="107" t="str">
        <f>$D$54</f>
        <v>EA</v>
      </c>
      <c r="G161" s="105" t="str">
        <f>$B$54</f>
        <v>Shower</v>
      </c>
      <c r="H161" s="106">
        <v>1</v>
      </c>
      <c r="I161" s="107" t="str">
        <f>$D$54</f>
        <v>EA</v>
      </c>
      <c r="J161" s="107">
        <f t="shared" si="14"/>
        <v>7</v>
      </c>
      <c r="L161" s="105" t="str">
        <f>$B$54</f>
        <v>Shower</v>
      </c>
      <c r="M161" s="106">
        <v>1</v>
      </c>
      <c r="N161" s="107" t="str">
        <f>$D$54</f>
        <v>EA</v>
      </c>
      <c r="O161" s="107">
        <f t="shared" si="15"/>
        <v>7</v>
      </c>
      <c r="Q161" s="105" t="str">
        <f>$B$54</f>
        <v>Shower</v>
      </c>
      <c r="R161" s="106">
        <v>1</v>
      </c>
      <c r="S161" s="107" t="str">
        <f>$D$54</f>
        <v>EA</v>
      </c>
      <c r="T161" s="107">
        <f t="shared" si="16"/>
        <v>7</v>
      </c>
      <c r="V161" s="105" t="str">
        <f>$B$54</f>
        <v>Shower</v>
      </c>
      <c r="W161" s="106">
        <v>1</v>
      </c>
      <c r="X161" s="107" t="str">
        <f>$D$54</f>
        <v>EA</v>
      </c>
      <c r="Y161" s="107">
        <f t="shared" si="17"/>
        <v>7</v>
      </c>
      <c r="AA161" s="105" t="str">
        <f>$B$54</f>
        <v>Shower</v>
      </c>
      <c r="AB161" s="106">
        <v>1</v>
      </c>
      <c r="AC161" s="107" t="str">
        <f>$D$54</f>
        <v>EA</v>
      </c>
      <c r="AD161" s="107">
        <f t="shared" si="18"/>
        <v>7</v>
      </c>
      <c r="CI161" s="76"/>
      <c r="CJ161" s="76"/>
      <c r="CK161" s="76"/>
      <c r="CL161" s="76"/>
      <c r="CM161" s="76"/>
      <c r="CN161" s="76"/>
      <c r="CO161" s="76"/>
      <c r="CP161" s="76"/>
      <c r="CQ161" s="76"/>
      <c r="CR161" s="76"/>
      <c r="CS161" s="76"/>
    </row>
    <row r="162" spans="1:97" s="72" customFormat="1">
      <c r="B162" s="105" t="str">
        <f>$B$56</f>
        <v>Water Closet</v>
      </c>
      <c r="C162" s="106">
        <f t="shared" si="13"/>
        <v>35</v>
      </c>
      <c r="D162" s="107" t="str">
        <f>$D$56</f>
        <v>EA</v>
      </c>
      <c r="G162" s="105" t="str">
        <f>$B$56</f>
        <v>Water Closet</v>
      </c>
      <c r="H162" s="106">
        <v>1</v>
      </c>
      <c r="I162" s="107" t="str">
        <f>$D$56</f>
        <v>EA</v>
      </c>
      <c r="J162" s="107">
        <f t="shared" si="14"/>
        <v>7</v>
      </c>
      <c r="L162" s="105" t="str">
        <f>$B$56</f>
        <v>Water Closet</v>
      </c>
      <c r="M162" s="106">
        <v>1</v>
      </c>
      <c r="N162" s="107" t="str">
        <f>$D$56</f>
        <v>EA</v>
      </c>
      <c r="O162" s="107">
        <f t="shared" si="15"/>
        <v>7</v>
      </c>
      <c r="Q162" s="105" t="str">
        <f>$B$56</f>
        <v>Water Closet</v>
      </c>
      <c r="R162" s="106">
        <v>1</v>
      </c>
      <c r="S162" s="107" t="str">
        <f>$D$56</f>
        <v>EA</v>
      </c>
      <c r="T162" s="107">
        <f t="shared" si="16"/>
        <v>7</v>
      </c>
      <c r="V162" s="105" t="str">
        <f>$B$56</f>
        <v>Water Closet</v>
      </c>
      <c r="W162" s="106">
        <v>1</v>
      </c>
      <c r="X162" s="107" t="str">
        <f>$D$56</f>
        <v>EA</v>
      </c>
      <c r="Y162" s="107">
        <f t="shared" si="17"/>
        <v>7</v>
      </c>
      <c r="AA162" s="105" t="str">
        <f>$B$56</f>
        <v>Water Closet</v>
      </c>
      <c r="AB162" s="106">
        <v>1</v>
      </c>
      <c r="AC162" s="107" t="str">
        <f>$D$56</f>
        <v>EA</v>
      </c>
      <c r="AD162" s="107">
        <f t="shared" si="18"/>
        <v>7</v>
      </c>
      <c r="CI162" s="76"/>
      <c r="CJ162" s="76"/>
      <c r="CK162" s="76"/>
      <c r="CL162" s="76"/>
      <c r="CM162" s="76"/>
      <c r="CN162" s="76"/>
      <c r="CO162" s="76"/>
      <c r="CP162" s="76"/>
      <c r="CQ162" s="76"/>
      <c r="CR162" s="76"/>
      <c r="CS162" s="76"/>
    </row>
    <row r="163" spans="1:97" s="72" customFormat="1">
      <c r="B163" s="105" t="str">
        <f>$B$61</f>
        <v>Chilled Water Concealed Ducted Unit w/ Electric Heat</v>
      </c>
      <c r="C163" s="106">
        <f t="shared" si="13"/>
        <v>35</v>
      </c>
      <c r="D163" s="107" t="str">
        <f>$D$61</f>
        <v>EA</v>
      </c>
      <c r="G163" s="105" t="str">
        <f>$B$61</f>
        <v>Chilled Water Concealed Ducted Unit w/ Electric Heat</v>
      </c>
      <c r="H163" s="106">
        <v>1</v>
      </c>
      <c r="I163" s="107" t="str">
        <f>$D$61</f>
        <v>EA</v>
      </c>
      <c r="J163" s="107">
        <f t="shared" si="14"/>
        <v>7</v>
      </c>
      <c r="L163" s="105" t="str">
        <f>$B$61</f>
        <v>Chilled Water Concealed Ducted Unit w/ Electric Heat</v>
      </c>
      <c r="M163" s="106">
        <v>1</v>
      </c>
      <c r="N163" s="107" t="str">
        <f>$D$61</f>
        <v>EA</v>
      </c>
      <c r="O163" s="107">
        <f t="shared" si="15"/>
        <v>7</v>
      </c>
      <c r="Q163" s="105" t="str">
        <f>$B$61</f>
        <v>Chilled Water Concealed Ducted Unit w/ Electric Heat</v>
      </c>
      <c r="R163" s="106">
        <v>1</v>
      </c>
      <c r="S163" s="107" t="str">
        <f>$D$61</f>
        <v>EA</v>
      </c>
      <c r="T163" s="107">
        <f t="shared" si="16"/>
        <v>7</v>
      </c>
      <c r="V163" s="105" t="str">
        <f>$B$61</f>
        <v>Chilled Water Concealed Ducted Unit w/ Electric Heat</v>
      </c>
      <c r="W163" s="106">
        <v>1</v>
      </c>
      <c r="X163" s="107" t="str">
        <f>$D$61</f>
        <v>EA</v>
      </c>
      <c r="Y163" s="107">
        <f t="shared" si="17"/>
        <v>7</v>
      </c>
      <c r="AA163" s="105" t="str">
        <f>$B$61</f>
        <v>Chilled Water Concealed Ducted Unit w/ Electric Heat</v>
      </c>
      <c r="AB163" s="106">
        <v>1</v>
      </c>
      <c r="AC163" s="107" t="str">
        <f>$D$61</f>
        <v>EA</v>
      </c>
      <c r="AD163" s="107">
        <f t="shared" si="18"/>
        <v>7</v>
      </c>
      <c r="CI163" s="76"/>
      <c r="CJ163" s="76"/>
      <c r="CK163" s="76"/>
      <c r="CL163" s="76"/>
      <c r="CM163" s="76"/>
      <c r="CN163" s="76"/>
      <c r="CO163" s="76"/>
      <c r="CP163" s="76"/>
      <c r="CQ163" s="76"/>
      <c r="CR163" s="76"/>
      <c r="CS163" s="76"/>
    </row>
    <row r="164" spans="1:97" s="72" customFormat="1">
      <c r="B164" s="108" t="str">
        <f>$B$66</f>
        <v>Panel Board</v>
      </c>
      <c r="C164" s="109">
        <f t="shared" si="13"/>
        <v>35</v>
      </c>
      <c r="D164" s="110" t="str">
        <f>$D$66</f>
        <v>EA</v>
      </c>
      <c r="G164" s="108" t="str">
        <f>$B$66</f>
        <v>Panel Board</v>
      </c>
      <c r="H164" s="109">
        <v>1</v>
      </c>
      <c r="I164" s="110" t="str">
        <f>$D$66</f>
        <v>EA</v>
      </c>
      <c r="J164" s="110">
        <f t="shared" si="14"/>
        <v>7</v>
      </c>
      <c r="L164" s="108" t="str">
        <f>$B$66</f>
        <v>Panel Board</v>
      </c>
      <c r="M164" s="109">
        <v>1</v>
      </c>
      <c r="N164" s="110" t="str">
        <f>$D$66</f>
        <v>EA</v>
      </c>
      <c r="O164" s="110">
        <f t="shared" si="15"/>
        <v>7</v>
      </c>
      <c r="Q164" s="108" t="str">
        <f>$B$66</f>
        <v>Panel Board</v>
      </c>
      <c r="R164" s="109">
        <v>1</v>
      </c>
      <c r="S164" s="110" t="str">
        <f>$D$66</f>
        <v>EA</v>
      </c>
      <c r="T164" s="110">
        <f t="shared" si="16"/>
        <v>7</v>
      </c>
      <c r="V164" s="108" t="str">
        <f>$B$66</f>
        <v>Panel Board</v>
      </c>
      <c r="W164" s="109">
        <v>1</v>
      </c>
      <c r="X164" s="110" t="str">
        <f>$D$66</f>
        <v>EA</v>
      </c>
      <c r="Y164" s="110">
        <f t="shared" si="17"/>
        <v>7</v>
      </c>
      <c r="AA164" s="108" t="str">
        <f>$B$66</f>
        <v>Panel Board</v>
      </c>
      <c r="AB164" s="109">
        <v>1</v>
      </c>
      <c r="AC164" s="110" t="str">
        <f>$D$66</f>
        <v>EA</v>
      </c>
      <c r="AD164" s="110">
        <f t="shared" si="18"/>
        <v>7</v>
      </c>
      <c r="CI164" s="76"/>
      <c r="CJ164" s="76"/>
      <c r="CK164" s="76"/>
      <c r="CL164" s="76"/>
      <c r="CM164" s="76"/>
      <c r="CN164" s="76"/>
      <c r="CO164" s="76"/>
      <c r="CP164" s="76"/>
      <c r="CQ164" s="76"/>
      <c r="CR164" s="76"/>
      <c r="CS164" s="76"/>
    </row>
    <row r="165" spans="1:97" s="72" customFormat="1">
      <c r="Y165" s="103">
        <f t="shared" si="17"/>
        <v>0</v>
      </c>
    </row>
    <row r="166" spans="1:97" s="72" customFormat="1"/>
    <row r="167" spans="1:97" s="72" customFormat="1"/>
    <row r="168" spans="1:97" s="75" customFormat="1" ht="15.75">
      <c r="A168" s="74"/>
      <c r="B168" s="111" t="s">
        <v>72</v>
      </c>
      <c r="C168" s="112">
        <f>H168+M168+R168+W168+AB168</f>
        <v>5</v>
      </c>
      <c r="D168" s="113"/>
      <c r="E168" s="74"/>
      <c r="F168" s="74"/>
      <c r="G168" s="114" t="s">
        <v>65</v>
      </c>
      <c r="H168" s="115">
        <v>1</v>
      </c>
      <c r="I168" s="115" t="s">
        <v>25</v>
      </c>
      <c r="J168" s="120"/>
      <c r="K168" s="74"/>
      <c r="L168" s="114" t="s">
        <v>66</v>
      </c>
      <c r="M168" s="115">
        <v>1</v>
      </c>
      <c r="N168" s="115" t="s">
        <v>25</v>
      </c>
      <c r="O168" s="120"/>
      <c r="P168" s="74"/>
      <c r="Q168" s="114" t="s">
        <v>67</v>
      </c>
      <c r="R168" s="115">
        <v>1</v>
      </c>
      <c r="S168" s="115" t="s">
        <v>25</v>
      </c>
      <c r="T168" s="120"/>
      <c r="U168" s="74"/>
      <c r="V168" s="114" t="s">
        <v>68</v>
      </c>
      <c r="W168" s="115">
        <v>1</v>
      </c>
      <c r="X168" s="115" t="s">
        <v>25</v>
      </c>
      <c r="Y168" s="120"/>
      <c r="Z168" s="74"/>
      <c r="AA168" s="114" t="s">
        <v>69</v>
      </c>
      <c r="AB168" s="115">
        <v>1</v>
      </c>
      <c r="AC168" s="115" t="s">
        <v>25</v>
      </c>
      <c r="AD168" s="120"/>
      <c r="AE168" s="74"/>
      <c r="AF168" s="74"/>
      <c r="AG168" s="74"/>
      <c r="AH168" s="74"/>
      <c r="AI168" s="74"/>
      <c r="AJ168" s="74"/>
      <c r="AK168" s="74"/>
      <c r="AL168" s="74"/>
      <c r="AM168" s="74"/>
      <c r="AN168" s="74"/>
      <c r="AO168" s="74"/>
      <c r="AP168" s="74"/>
      <c r="AQ168" s="74"/>
      <c r="AR168" s="74"/>
      <c r="AS168" s="74"/>
      <c r="AT168" s="74"/>
      <c r="AU168" s="74"/>
      <c r="AV168" s="74"/>
      <c r="AW168" s="74"/>
      <c r="AX168" s="74"/>
      <c r="AY168" s="74"/>
      <c r="AZ168" s="74"/>
      <c r="BA168" s="74"/>
      <c r="BB168" s="74"/>
      <c r="BC168" s="74"/>
      <c r="BD168" s="74"/>
      <c r="BE168" s="74"/>
      <c r="BF168" s="74"/>
      <c r="BG168" s="74"/>
      <c r="BH168" s="74"/>
      <c r="BI168" s="74"/>
      <c r="BJ168" s="74"/>
      <c r="BK168" s="74"/>
      <c r="BL168" s="74"/>
      <c r="BM168" s="74"/>
      <c r="BN168" s="74"/>
      <c r="BO168" s="74"/>
      <c r="BP168" s="74"/>
      <c r="BQ168" s="74"/>
      <c r="BR168" s="74"/>
      <c r="BS168" s="74"/>
      <c r="BT168" s="74"/>
      <c r="BU168" s="74"/>
      <c r="BV168" s="74"/>
      <c r="BW168" s="74"/>
      <c r="BX168" s="74"/>
      <c r="BY168" s="74"/>
      <c r="BZ168" s="74"/>
      <c r="CA168" s="74"/>
      <c r="CB168" s="74"/>
      <c r="CC168" s="74"/>
      <c r="CD168" s="74"/>
      <c r="CE168" s="74"/>
      <c r="CF168" s="74"/>
      <c r="CG168" s="74"/>
      <c r="CH168" s="74"/>
    </row>
    <row r="169" spans="1:97" s="75" customFormat="1" ht="15.75">
      <c r="A169" s="74"/>
      <c r="B169" s="116"/>
      <c r="C169" s="117"/>
      <c r="D169" s="118"/>
      <c r="E169" s="74"/>
      <c r="F169" s="74"/>
      <c r="G169" s="116"/>
      <c r="H169" s="119"/>
      <c r="I169" s="121"/>
      <c r="J169" s="121"/>
      <c r="K169" s="74"/>
      <c r="L169" s="116"/>
      <c r="M169" s="119"/>
      <c r="N169" s="121"/>
      <c r="O169" s="121"/>
      <c r="P169" s="74"/>
      <c r="Q169" s="116"/>
      <c r="R169" s="119"/>
      <c r="S169" s="121"/>
      <c r="T169" s="121"/>
      <c r="U169" s="74"/>
      <c r="V169" s="116"/>
      <c r="W169" s="119"/>
      <c r="X169" s="121"/>
      <c r="Y169" s="121"/>
      <c r="Z169" s="74"/>
      <c r="AA169" s="116"/>
      <c r="AB169" s="119"/>
      <c r="AC169" s="121"/>
      <c r="AD169" s="121"/>
      <c r="AE169" s="74"/>
      <c r="AF169" s="74"/>
      <c r="AG169" s="74"/>
      <c r="AH169" s="74"/>
      <c r="AI169" s="74"/>
      <c r="AJ169" s="74"/>
      <c r="AK169" s="74"/>
      <c r="AL169" s="74"/>
      <c r="AM169" s="74"/>
      <c r="AN169" s="74"/>
      <c r="AO169" s="74"/>
      <c r="AP169" s="74"/>
      <c r="AQ169" s="74"/>
      <c r="AR169" s="74"/>
      <c r="AS169" s="74"/>
      <c r="AT169" s="74"/>
      <c r="AU169" s="74"/>
      <c r="AV169" s="74"/>
      <c r="AW169" s="74"/>
      <c r="AX169" s="74"/>
      <c r="AY169" s="74"/>
      <c r="AZ169" s="74"/>
      <c r="BA169" s="74"/>
      <c r="BB169" s="74"/>
      <c r="BC169" s="74"/>
      <c r="BD169" s="74"/>
      <c r="BE169" s="74"/>
      <c r="BF169" s="74"/>
      <c r="BG169" s="74"/>
      <c r="BH169" s="74"/>
      <c r="BI169" s="74"/>
      <c r="BJ169" s="74"/>
      <c r="BK169" s="74"/>
      <c r="BL169" s="74"/>
      <c r="BM169" s="74"/>
      <c r="BN169" s="74"/>
      <c r="BO169" s="74"/>
      <c r="BP169" s="74"/>
      <c r="BQ169" s="74"/>
      <c r="BR169" s="74"/>
      <c r="BS169" s="74"/>
      <c r="BT169" s="74"/>
      <c r="BU169" s="74"/>
      <c r="BV169" s="74"/>
      <c r="BW169" s="74"/>
      <c r="BX169" s="74"/>
      <c r="BY169" s="74"/>
      <c r="BZ169" s="74"/>
      <c r="CA169" s="74"/>
      <c r="CB169" s="74"/>
      <c r="CC169" s="74"/>
      <c r="CD169" s="74"/>
      <c r="CE169" s="74"/>
      <c r="CF169" s="74"/>
      <c r="CG169" s="74"/>
      <c r="CH169" s="74"/>
    </row>
    <row r="170" spans="1:97">
      <c r="B170" s="102" t="str">
        <f>$B$7</f>
        <v>1 Bed / 1 Bath</v>
      </c>
      <c r="C170" s="103">
        <f t="shared" ref="C170:C189" si="19">AD170+Y170+T170+O170+J170</f>
        <v>5</v>
      </c>
      <c r="D170" s="104" t="str">
        <f>$D$7</f>
        <v>EA</v>
      </c>
      <c r="G170" s="102" t="str">
        <f>$B$7</f>
        <v>1 Bed / 1 Bath</v>
      </c>
      <c r="H170" s="103">
        <v>1</v>
      </c>
      <c r="I170" s="104" t="str">
        <f>$D$7</f>
        <v>EA</v>
      </c>
      <c r="J170" s="104">
        <f t="shared" ref="J170:J189" si="20">ROUNDUP(H170*$H$168,0)</f>
        <v>1</v>
      </c>
      <c r="L170" s="102" t="str">
        <f>$B$7</f>
        <v>1 Bed / 1 Bath</v>
      </c>
      <c r="M170" s="103">
        <v>1</v>
      </c>
      <c r="N170" s="104" t="str">
        <f>$D$7</f>
        <v>EA</v>
      </c>
      <c r="O170" s="104">
        <f t="shared" ref="O170:O189" si="21">ROUNDUP(M170*$M$168,0)</f>
        <v>1</v>
      </c>
      <c r="Q170" s="102" t="str">
        <f>$B$7</f>
        <v>1 Bed / 1 Bath</v>
      </c>
      <c r="R170" s="103">
        <v>1</v>
      </c>
      <c r="S170" s="104" t="str">
        <f>$D$7</f>
        <v>EA</v>
      </c>
      <c r="T170" s="104">
        <f t="shared" ref="T170:T189" si="22">ROUNDUP(R170*$R$168,0)</f>
        <v>1</v>
      </c>
      <c r="V170" s="102" t="str">
        <f>$B$7</f>
        <v>1 Bed / 1 Bath</v>
      </c>
      <c r="W170" s="103">
        <v>1</v>
      </c>
      <c r="X170" s="104" t="str">
        <f>$D$7</f>
        <v>EA</v>
      </c>
      <c r="Y170" s="104">
        <f t="shared" ref="Y170:Y189" si="23">ROUNDUP(W170*$W$168,0)</f>
        <v>1</v>
      </c>
      <c r="AA170" s="102" t="str">
        <f>$B$7</f>
        <v>1 Bed / 1 Bath</v>
      </c>
      <c r="AB170" s="103">
        <v>1</v>
      </c>
      <c r="AC170" s="104" t="str">
        <f>$D$7</f>
        <v>EA</v>
      </c>
      <c r="AD170" s="104">
        <f t="shared" ref="AD170:AD189" si="24">ROUNDUP(AB170*$AB$168,0)</f>
        <v>1</v>
      </c>
    </row>
    <row r="171" spans="1:97">
      <c r="B171" s="105" t="str">
        <f>$B$12</f>
        <v>Double Panel Entry Door</v>
      </c>
      <c r="C171" s="106">
        <f t="shared" si="19"/>
        <v>0</v>
      </c>
      <c r="D171" s="107" t="str">
        <f>$D$12</f>
        <v>EA</v>
      </c>
      <c r="G171" s="105" t="str">
        <f>$B$12</f>
        <v>Double Panel Entry Door</v>
      </c>
      <c r="H171" s="106">
        <v>0</v>
      </c>
      <c r="I171" s="107" t="str">
        <f>$D$12</f>
        <v>EA</v>
      </c>
      <c r="J171" s="107">
        <f t="shared" si="20"/>
        <v>0</v>
      </c>
      <c r="L171" s="105" t="str">
        <f>$B$12</f>
        <v>Double Panel Entry Door</v>
      </c>
      <c r="M171" s="106">
        <v>0</v>
      </c>
      <c r="N171" s="107" t="str">
        <f>$D$12</f>
        <v>EA</v>
      </c>
      <c r="O171" s="107">
        <f t="shared" si="21"/>
        <v>0</v>
      </c>
      <c r="Q171" s="105" t="str">
        <f>$B$12</f>
        <v>Double Panel Entry Door</v>
      </c>
      <c r="R171" s="106">
        <v>0</v>
      </c>
      <c r="S171" s="107" t="str">
        <f>$D$12</f>
        <v>EA</v>
      </c>
      <c r="T171" s="107">
        <f t="shared" si="22"/>
        <v>0</v>
      </c>
      <c r="V171" s="105" t="str">
        <f>$B$12</f>
        <v>Double Panel Entry Door</v>
      </c>
      <c r="W171" s="106">
        <v>0</v>
      </c>
      <c r="X171" s="107" t="str">
        <f>$D$12</f>
        <v>EA</v>
      </c>
      <c r="Y171" s="107">
        <f t="shared" si="23"/>
        <v>0</v>
      </c>
      <c r="AA171" s="105" t="str">
        <f>$B$12</f>
        <v>Double Panel Entry Door</v>
      </c>
      <c r="AB171" s="106">
        <v>0</v>
      </c>
      <c r="AC171" s="107" t="str">
        <f>$D$12</f>
        <v>EA</v>
      </c>
      <c r="AD171" s="107">
        <f t="shared" si="24"/>
        <v>0</v>
      </c>
    </row>
    <row r="172" spans="1:97">
      <c r="B172" s="105" t="str">
        <f>$B$14</f>
        <v>Double Panel Interior Door</v>
      </c>
      <c r="C172" s="106">
        <f t="shared" si="19"/>
        <v>0</v>
      </c>
      <c r="D172" s="107" t="str">
        <f>$D$14</f>
        <v>EA</v>
      </c>
      <c r="G172" s="105" t="str">
        <f>$B$14</f>
        <v>Double Panel Interior Door</v>
      </c>
      <c r="H172" s="106">
        <v>0</v>
      </c>
      <c r="I172" s="107" t="str">
        <f>$D$14</f>
        <v>EA</v>
      </c>
      <c r="J172" s="107">
        <f t="shared" si="20"/>
        <v>0</v>
      </c>
      <c r="L172" s="105" t="str">
        <f>$B$14</f>
        <v>Double Panel Interior Door</v>
      </c>
      <c r="M172" s="106">
        <v>0</v>
      </c>
      <c r="N172" s="107" t="str">
        <f>$D$14</f>
        <v>EA</v>
      </c>
      <c r="O172" s="107">
        <f t="shared" si="21"/>
        <v>0</v>
      </c>
      <c r="Q172" s="105" t="str">
        <f>$B$14</f>
        <v>Double Panel Interior Door</v>
      </c>
      <c r="R172" s="106">
        <v>0</v>
      </c>
      <c r="S172" s="107" t="str">
        <f>$D$14</f>
        <v>EA</v>
      </c>
      <c r="T172" s="107">
        <f t="shared" si="22"/>
        <v>0</v>
      </c>
      <c r="V172" s="105" t="str">
        <f>$B$14</f>
        <v>Double Panel Interior Door</v>
      </c>
      <c r="W172" s="106">
        <v>0</v>
      </c>
      <c r="X172" s="107" t="str">
        <f>$D$14</f>
        <v>EA</v>
      </c>
      <c r="Y172" s="107">
        <f t="shared" si="23"/>
        <v>0</v>
      </c>
      <c r="AA172" s="105" t="str">
        <f>$B$14</f>
        <v>Double Panel Interior Door</v>
      </c>
      <c r="AB172" s="106">
        <v>0</v>
      </c>
      <c r="AC172" s="107" t="str">
        <f>$D$14</f>
        <v>EA</v>
      </c>
      <c r="AD172" s="107">
        <f t="shared" si="24"/>
        <v>0</v>
      </c>
    </row>
    <row r="173" spans="1:97">
      <c r="B173" s="105" t="str">
        <f>$B$16</f>
        <v>Single Panel Balcony Door</v>
      </c>
      <c r="C173" s="106">
        <f t="shared" si="19"/>
        <v>4</v>
      </c>
      <c r="D173" s="107" t="str">
        <f>$D$16</f>
        <v>EA</v>
      </c>
      <c r="G173" s="105" t="str">
        <f>$B$16</f>
        <v>Single Panel Balcony Door</v>
      </c>
      <c r="H173" s="106">
        <v>0</v>
      </c>
      <c r="I173" s="107" t="str">
        <f>$D$16</f>
        <v>EA</v>
      </c>
      <c r="J173" s="107">
        <f t="shared" si="20"/>
        <v>0</v>
      </c>
      <c r="L173" s="105" t="str">
        <f>$B$16</f>
        <v>Single Panel Balcony Door</v>
      </c>
      <c r="M173" s="106">
        <v>1</v>
      </c>
      <c r="N173" s="107" t="str">
        <f>$D$16</f>
        <v>EA</v>
      </c>
      <c r="O173" s="107">
        <f t="shared" si="21"/>
        <v>1</v>
      </c>
      <c r="Q173" s="105" t="str">
        <f>$B$16</f>
        <v>Single Panel Balcony Door</v>
      </c>
      <c r="R173" s="106">
        <v>1</v>
      </c>
      <c r="S173" s="107" t="str">
        <f>$D$16</f>
        <v>EA</v>
      </c>
      <c r="T173" s="107">
        <f t="shared" si="22"/>
        <v>1</v>
      </c>
      <c r="V173" s="105" t="str">
        <f>$B$16</f>
        <v>Single Panel Balcony Door</v>
      </c>
      <c r="W173" s="106">
        <v>1</v>
      </c>
      <c r="X173" s="107" t="str">
        <f>$D$16</f>
        <v>EA</v>
      </c>
      <c r="Y173" s="107">
        <f t="shared" si="23"/>
        <v>1</v>
      </c>
      <c r="AA173" s="105" t="str">
        <f>$B$16</f>
        <v>Single Panel Balcony Door</v>
      </c>
      <c r="AB173" s="106">
        <v>1</v>
      </c>
      <c r="AC173" s="107" t="str">
        <f>$D$16</f>
        <v>EA</v>
      </c>
      <c r="AD173" s="107">
        <f t="shared" si="24"/>
        <v>1</v>
      </c>
    </row>
    <row r="174" spans="1:97" s="72" customFormat="1">
      <c r="B174" s="105" t="str">
        <f>$B$18</f>
        <v>Single Panel Entry Door</v>
      </c>
      <c r="C174" s="106">
        <f t="shared" si="19"/>
        <v>5</v>
      </c>
      <c r="D174" s="107" t="str">
        <f>$D$18</f>
        <v>EA</v>
      </c>
      <c r="G174" s="105" t="str">
        <f>$B$18</f>
        <v>Single Panel Entry Door</v>
      </c>
      <c r="H174" s="106">
        <v>1</v>
      </c>
      <c r="I174" s="107" t="str">
        <f>$D$18</f>
        <v>EA</v>
      </c>
      <c r="J174" s="107">
        <f t="shared" si="20"/>
        <v>1</v>
      </c>
      <c r="L174" s="105" t="str">
        <f>$B$18</f>
        <v>Single Panel Entry Door</v>
      </c>
      <c r="M174" s="106">
        <v>1</v>
      </c>
      <c r="N174" s="107" t="str">
        <f>$D$18</f>
        <v>EA</v>
      </c>
      <c r="O174" s="107">
        <f t="shared" si="21"/>
        <v>1</v>
      </c>
      <c r="Q174" s="105" t="str">
        <f>$B$18</f>
        <v>Single Panel Entry Door</v>
      </c>
      <c r="R174" s="106">
        <v>1</v>
      </c>
      <c r="S174" s="107" t="str">
        <f>$D$18</f>
        <v>EA</v>
      </c>
      <c r="T174" s="107">
        <f t="shared" si="22"/>
        <v>1</v>
      </c>
      <c r="V174" s="105" t="str">
        <f>$B$18</f>
        <v>Single Panel Entry Door</v>
      </c>
      <c r="W174" s="106">
        <v>1</v>
      </c>
      <c r="X174" s="107" t="str">
        <f>$D$18</f>
        <v>EA</v>
      </c>
      <c r="Y174" s="107">
        <f t="shared" si="23"/>
        <v>1</v>
      </c>
      <c r="AA174" s="105" t="str">
        <f>$B$18</f>
        <v>Single Panel Entry Door</v>
      </c>
      <c r="AB174" s="106">
        <v>1</v>
      </c>
      <c r="AC174" s="107" t="str">
        <f>$D$18</f>
        <v>EA</v>
      </c>
      <c r="AD174" s="107">
        <f t="shared" si="24"/>
        <v>1</v>
      </c>
      <c r="CI174" s="76"/>
      <c r="CJ174" s="76"/>
      <c r="CK174" s="76"/>
      <c r="CL174" s="76"/>
      <c r="CM174" s="76"/>
      <c r="CN174" s="76"/>
      <c r="CO174" s="76"/>
      <c r="CP174" s="76"/>
      <c r="CQ174" s="76"/>
      <c r="CR174" s="76"/>
      <c r="CS174" s="76"/>
    </row>
    <row r="175" spans="1:97" s="72" customFormat="1">
      <c r="B175" s="105" t="str">
        <f>$B$20</f>
        <v>Single Panel Interior Door</v>
      </c>
      <c r="C175" s="106">
        <f t="shared" si="19"/>
        <v>5</v>
      </c>
      <c r="D175" s="107" t="str">
        <f>$D$20</f>
        <v>EA</v>
      </c>
      <c r="G175" s="105" t="str">
        <f>$B$20</f>
        <v>Single Panel Interior Door</v>
      </c>
      <c r="H175" s="106">
        <v>1</v>
      </c>
      <c r="I175" s="107" t="str">
        <f>$D$20</f>
        <v>EA</v>
      </c>
      <c r="J175" s="107">
        <f t="shared" si="20"/>
        <v>1</v>
      </c>
      <c r="L175" s="105" t="str">
        <f>$B$20</f>
        <v>Single Panel Interior Door</v>
      </c>
      <c r="M175" s="106">
        <v>1</v>
      </c>
      <c r="N175" s="107" t="str">
        <f>$D$20</f>
        <v>EA</v>
      </c>
      <c r="O175" s="107">
        <f t="shared" si="21"/>
        <v>1</v>
      </c>
      <c r="Q175" s="105" t="str">
        <f>$B$20</f>
        <v>Single Panel Interior Door</v>
      </c>
      <c r="R175" s="106">
        <v>1</v>
      </c>
      <c r="S175" s="107" t="str">
        <f>$D$20</f>
        <v>EA</v>
      </c>
      <c r="T175" s="107">
        <f t="shared" si="22"/>
        <v>1</v>
      </c>
      <c r="V175" s="105" t="str">
        <f>$B$20</f>
        <v>Single Panel Interior Door</v>
      </c>
      <c r="W175" s="106">
        <v>1</v>
      </c>
      <c r="X175" s="107" t="str">
        <f>$D$20</f>
        <v>EA</v>
      </c>
      <c r="Y175" s="107">
        <f t="shared" si="23"/>
        <v>1</v>
      </c>
      <c r="AA175" s="105" t="str">
        <f>$B$20</f>
        <v>Single Panel Interior Door</v>
      </c>
      <c r="AB175" s="106">
        <v>1</v>
      </c>
      <c r="AC175" s="107" t="str">
        <f>$D$20</f>
        <v>EA</v>
      </c>
      <c r="AD175" s="107">
        <f t="shared" si="24"/>
        <v>1</v>
      </c>
      <c r="CI175" s="76"/>
      <c r="CJ175" s="76"/>
      <c r="CK175" s="76"/>
      <c r="CL175" s="76"/>
      <c r="CM175" s="76"/>
      <c r="CN175" s="76"/>
      <c r="CO175" s="76"/>
      <c r="CP175" s="76"/>
      <c r="CQ175" s="76"/>
      <c r="CR175" s="76"/>
      <c r="CS175" s="76"/>
    </row>
    <row r="176" spans="1:97" s="72" customFormat="1">
      <c r="B176" s="105" t="str">
        <f>$B$25</f>
        <v>Skim Coat Gypsum Plaster Ceiling</v>
      </c>
      <c r="C176" s="106">
        <f t="shared" si="19"/>
        <v>0</v>
      </c>
      <c r="D176" s="107" t="str">
        <f>$D$25</f>
        <v>SF</v>
      </c>
      <c r="G176" s="105" t="str">
        <f>$B$25</f>
        <v>Skim Coat Gypsum Plaster Ceiling</v>
      </c>
      <c r="H176" s="106">
        <v>0</v>
      </c>
      <c r="I176" s="107" t="str">
        <f>$D$25</f>
        <v>SF</v>
      </c>
      <c r="J176" s="107">
        <f t="shared" si="20"/>
        <v>0</v>
      </c>
      <c r="L176" s="105" t="str">
        <f>$B$25</f>
        <v>Skim Coat Gypsum Plaster Ceiling</v>
      </c>
      <c r="M176" s="106">
        <v>0</v>
      </c>
      <c r="N176" s="107" t="str">
        <f>$D$25</f>
        <v>SF</v>
      </c>
      <c r="O176" s="107">
        <f t="shared" si="21"/>
        <v>0</v>
      </c>
      <c r="Q176" s="105" t="str">
        <f>$B$25</f>
        <v>Skim Coat Gypsum Plaster Ceiling</v>
      </c>
      <c r="R176" s="106">
        <v>0</v>
      </c>
      <c r="S176" s="107" t="str">
        <f>$D$25</f>
        <v>SF</v>
      </c>
      <c r="T176" s="107">
        <f t="shared" si="22"/>
        <v>0</v>
      </c>
      <c r="V176" s="105" t="str">
        <f>$B$25</f>
        <v>Skim Coat Gypsum Plaster Ceiling</v>
      </c>
      <c r="W176" s="106">
        <v>0</v>
      </c>
      <c r="X176" s="107" t="str">
        <f>$D$25</f>
        <v>SF</v>
      </c>
      <c r="Y176" s="107">
        <f t="shared" si="23"/>
        <v>0</v>
      </c>
      <c r="AA176" s="105" t="str">
        <f>$B$25</f>
        <v>Skim Coat Gypsum Plaster Ceiling</v>
      </c>
      <c r="AB176" s="106">
        <v>0</v>
      </c>
      <c r="AC176" s="107" t="str">
        <f>$D$25</f>
        <v>SF</v>
      </c>
      <c r="AD176" s="107">
        <f t="shared" si="24"/>
        <v>0</v>
      </c>
      <c r="CI176" s="76"/>
      <c r="CJ176" s="76"/>
      <c r="CK176" s="76"/>
      <c r="CL176" s="76"/>
      <c r="CM176" s="76"/>
      <c r="CN176" s="76"/>
      <c r="CO176" s="76"/>
      <c r="CP176" s="76"/>
      <c r="CQ176" s="76"/>
      <c r="CR176" s="76"/>
      <c r="CS176" s="76"/>
    </row>
    <row r="177" spans="2:97" s="72" customFormat="1">
      <c r="B177" s="105" t="str">
        <f>$B$29</f>
        <v>Floor Finish @ Bathroom</v>
      </c>
      <c r="C177" s="106">
        <f t="shared" si="19"/>
        <v>390</v>
      </c>
      <c r="D177" s="107" t="str">
        <f>$D$29</f>
        <v>SF</v>
      </c>
      <c r="G177" s="105" t="str">
        <f>$B$29</f>
        <v>Floor Finish @ Bathroom</v>
      </c>
      <c r="H177" s="106">
        <v>77.650000000000006</v>
      </c>
      <c r="I177" s="107" t="str">
        <f>$D$29</f>
        <v>SF</v>
      </c>
      <c r="J177" s="107">
        <f t="shared" si="20"/>
        <v>78</v>
      </c>
      <c r="L177" s="105" t="str">
        <f>$B$29</f>
        <v>Floor Finish @ Bathroom</v>
      </c>
      <c r="M177" s="106">
        <v>77.650000000000006</v>
      </c>
      <c r="N177" s="107" t="str">
        <f>$D$29</f>
        <v>SF</v>
      </c>
      <c r="O177" s="107">
        <f t="shared" si="21"/>
        <v>78</v>
      </c>
      <c r="Q177" s="105" t="str">
        <f>$B$29</f>
        <v>Floor Finish @ Bathroom</v>
      </c>
      <c r="R177" s="106">
        <v>77.650000000000006</v>
      </c>
      <c r="S177" s="107" t="str">
        <f>$D$29</f>
        <v>SF</v>
      </c>
      <c r="T177" s="107">
        <f t="shared" si="22"/>
        <v>78</v>
      </c>
      <c r="V177" s="105" t="str">
        <f>$B$29</f>
        <v>Floor Finish @ Bathroom</v>
      </c>
      <c r="W177" s="106">
        <v>77.650000000000006</v>
      </c>
      <c r="X177" s="107" t="str">
        <f>$D$29</f>
        <v>SF</v>
      </c>
      <c r="Y177" s="107">
        <f t="shared" si="23"/>
        <v>78</v>
      </c>
      <c r="AA177" s="105" t="str">
        <f>$B$29</f>
        <v>Floor Finish @ Bathroom</v>
      </c>
      <c r="AB177" s="106">
        <v>77.650000000000006</v>
      </c>
      <c r="AC177" s="107" t="str">
        <f>$D$29</f>
        <v>SF</v>
      </c>
      <c r="AD177" s="107">
        <f t="shared" si="24"/>
        <v>78</v>
      </c>
      <c r="CI177" s="76"/>
      <c r="CJ177" s="76"/>
      <c r="CK177" s="76"/>
      <c r="CL177" s="76"/>
      <c r="CM177" s="76"/>
      <c r="CN177" s="76"/>
      <c r="CO177" s="76"/>
      <c r="CP177" s="76"/>
      <c r="CQ177" s="76"/>
      <c r="CR177" s="76"/>
      <c r="CS177" s="76"/>
    </row>
    <row r="178" spans="2:97" s="72" customFormat="1">
      <c r="B178" s="105" t="str">
        <f>$B$31</f>
        <v>Floor Finish @ Bedroom</v>
      </c>
      <c r="C178" s="106">
        <f t="shared" si="19"/>
        <v>2045</v>
      </c>
      <c r="D178" s="107" t="str">
        <f>$D$31</f>
        <v>SF</v>
      </c>
      <c r="G178" s="105" t="str">
        <f>$B$31</f>
        <v>Floor Finish @ Bedroom</v>
      </c>
      <c r="H178" s="106">
        <v>408.28</v>
      </c>
      <c r="I178" s="107" t="str">
        <f>$D$31</f>
        <v>SF</v>
      </c>
      <c r="J178" s="107">
        <f t="shared" si="20"/>
        <v>409</v>
      </c>
      <c r="L178" s="105" t="str">
        <f>$B$31</f>
        <v>Floor Finish @ Bedroom</v>
      </c>
      <c r="M178" s="106">
        <v>408.28</v>
      </c>
      <c r="N178" s="107" t="str">
        <f>$D$31</f>
        <v>SF</v>
      </c>
      <c r="O178" s="107">
        <f t="shared" si="21"/>
        <v>409</v>
      </c>
      <c r="Q178" s="105" t="str">
        <f>$B$31</f>
        <v>Floor Finish @ Bedroom</v>
      </c>
      <c r="R178" s="106">
        <v>408.28</v>
      </c>
      <c r="S178" s="107" t="str">
        <f>$D$31</f>
        <v>SF</v>
      </c>
      <c r="T178" s="107">
        <f t="shared" si="22"/>
        <v>409</v>
      </c>
      <c r="V178" s="105" t="str">
        <f>$B$31</f>
        <v>Floor Finish @ Bedroom</v>
      </c>
      <c r="W178" s="106">
        <v>408.28</v>
      </c>
      <c r="X178" s="107" t="str">
        <f>$D$31</f>
        <v>SF</v>
      </c>
      <c r="Y178" s="107">
        <f t="shared" si="23"/>
        <v>409</v>
      </c>
      <c r="AA178" s="105" t="str">
        <f>$B$31</f>
        <v>Floor Finish @ Bedroom</v>
      </c>
      <c r="AB178" s="106">
        <v>408.28</v>
      </c>
      <c r="AC178" s="107" t="str">
        <f>$D$31</f>
        <v>SF</v>
      </c>
      <c r="AD178" s="107">
        <f t="shared" si="24"/>
        <v>409</v>
      </c>
      <c r="CI178" s="76"/>
      <c r="CJ178" s="76"/>
      <c r="CK178" s="76"/>
      <c r="CL178" s="76"/>
      <c r="CM178" s="76"/>
      <c r="CN178" s="76"/>
      <c r="CO178" s="76"/>
      <c r="CP178" s="76"/>
      <c r="CQ178" s="76"/>
      <c r="CR178" s="76"/>
      <c r="CS178" s="76"/>
    </row>
    <row r="179" spans="2:97" s="72" customFormat="1">
      <c r="B179" s="105" t="str">
        <f>$B$33</f>
        <v>Floor Finish @ Closet</v>
      </c>
      <c r="C179" s="106">
        <f t="shared" si="19"/>
        <v>0</v>
      </c>
      <c r="D179" s="107" t="str">
        <f>$D$33</f>
        <v>SF</v>
      </c>
      <c r="G179" s="105" t="str">
        <f>$B$33</f>
        <v>Floor Finish @ Closet</v>
      </c>
      <c r="H179" s="106">
        <v>0</v>
      </c>
      <c r="I179" s="107" t="str">
        <f>$D$33</f>
        <v>SF</v>
      </c>
      <c r="J179" s="107">
        <f t="shared" si="20"/>
        <v>0</v>
      </c>
      <c r="L179" s="105" t="str">
        <f>$B$33</f>
        <v>Floor Finish @ Closet</v>
      </c>
      <c r="M179" s="106">
        <v>0</v>
      </c>
      <c r="N179" s="107" t="str">
        <f>$D$33</f>
        <v>SF</v>
      </c>
      <c r="O179" s="107">
        <f t="shared" si="21"/>
        <v>0</v>
      </c>
      <c r="Q179" s="105" t="str">
        <f>$B$33</f>
        <v>Floor Finish @ Closet</v>
      </c>
      <c r="R179" s="106">
        <v>0</v>
      </c>
      <c r="S179" s="107" t="str">
        <f>$D$33</f>
        <v>SF</v>
      </c>
      <c r="T179" s="107">
        <f t="shared" si="22"/>
        <v>0</v>
      </c>
      <c r="V179" s="105" t="str">
        <f>$B$33</f>
        <v>Floor Finish @ Closet</v>
      </c>
      <c r="W179" s="106">
        <v>0</v>
      </c>
      <c r="X179" s="107" t="str">
        <f>$D$33</f>
        <v>SF</v>
      </c>
      <c r="Y179" s="107">
        <f t="shared" si="23"/>
        <v>0</v>
      </c>
      <c r="AA179" s="105" t="str">
        <f>$B$33</f>
        <v>Floor Finish @ Closet</v>
      </c>
      <c r="AB179" s="106">
        <v>0</v>
      </c>
      <c r="AC179" s="107" t="str">
        <f>$D$33</f>
        <v>SF</v>
      </c>
      <c r="AD179" s="107">
        <f t="shared" si="24"/>
        <v>0</v>
      </c>
      <c r="CI179" s="76"/>
      <c r="CJ179" s="76"/>
      <c r="CK179" s="76"/>
      <c r="CL179" s="76"/>
      <c r="CM179" s="76"/>
      <c r="CN179" s="76"/>
      <c r="CO179" s="76"/>
      <c r="CP179" s="76"/>
      <c r="CQ179" s="76"/>
      <c r="CR179" s="76"/>
      <c r="CS179" s="76"/>
    </row>
    <row r="180" spans="2:97" s="72" customFormat="1">
      <c r="B180" s="105" t="str">
        <f>$B$35</f>
        <v>Floor Finish @ Hall</v>
      </c>
      <c r="C180" s="106">
        <f t="shared" si="19"/>
        <v>0</v>
      </c>
      <c r="D180" s="107" t="str">
        <f>$D$35</f>
        <v>SF</v>
      </c>
      <c r="G180" s="105" t="str">
        <f>$B$35</f>
        <v>Floor Finish @ Hall</v>
      </c>
      <c r="H180" s="106">
        <v>0</v>
      </c>
      <c r="I180" s="107" t="str">
        <f>$D$35</f>
        <v>SF</v>
      </c>
      <c r="J180" s="107">
        <f t="shared" si="20"/>
        <v>0</v>
      </c>
      <c r="L180" s="105" t="str">
        <f>$B$35</f>
        <v>Floor Finish @ Hall</v>
      </c>
      <c r="M180" s="106">
        <v>0</v>
      </c>
      <c r="N180" s="107" t="str">
        <f>$D$35</f>
        <v>SF</v>
      </c>
      <c r="O180" s="107">
        <f t="shared" si="21"/>
        <v>0</v>
      </c>
      <c r="Q180" s="105" t="str">
        <f>$B$35</f>
        <v>Floor Finish @ Hall</v>
      </c>
      <c r="R180" s="106">
        <v>0</v>
      </c>
      <c r="S180" s="107" t="str">
        <f>$D$35</f>
        <v>SF</v>
      </c>
      <c r="T180" s="107">
        <f t="shared" si="22"/>
        <v>0</v>
      </c>
      <c r="V180" s="105" t="str">
        <f>$B$35</f>
        <v>Floor Finish @ Hall</v>
      </c>
      <c r="W180" s="106">
        <v>0</v>
      </c>
      <c r="X180" s="107" t="str">
        <f>$D$35</f>
        <v>SF</v>
      </c>
      <c r="Y180" s="107">
        <f t="shared" si="23"/>
        <v>0</v>
      </c>
      <c r="AA180" s="105" t="str">
        <f>$B$35</f>
        <v>Floor Finish @ Hall</v>
      </c>
      <c r="AB180" s="106">
        <v>0</v>
      </c>
      <c r="AC180" s="107" t="str">
        <f>$D$35</f>
        <v>SF</v>
      </c>
      <c r="AD180" s="107">
        <f t="shared" si="24"/>
        <v>0</v>
      </c>
      <c r="CI180" s="76"/>
      <c r="CJ180" s="76"/>
      <c r="CK180" s="76"/>
      <c r="CL180" s="76"/>
      <c r="CM180" s="76"/>
      <c r="CN180" s="76"/>
      <c r="CO180" s="76"/>
      <c r="CP180" s="76"/>
      <c r="CQ180" s="76"/>
      <c r="CR180" s="76"/>
      <c r="CS180" s="76"/>
    </row>
    <row r="181" spans="2:97" s="72" customFormat="1">
      <c r="B181" s="105" t="str">
        <f>$B$37</f>
        <v>Floor Finish @ Shower</v>
      </c>
      <c r="C181" s="106">
        <f t="shared" si="19"/>
        <v>0</v>
      </c>
      <c r="D181" s="107" t="str">
        <f>$D$37</f>
        <v>SF</v>
      </c>
      <c r="G181" s="105" t="str">
        <f>$B$37</f>
        <v>Floor Finish @ Shower</v>
      </c>
      <c r="H181" s="106">
        <v>0</v>
      </c>
      <c r="I181" s="107" t="str">
        <f>$D$37</f>
        <v>SF</v>
      </c>
      <c r="J181" s="107">
        <f t="shared" si="20"/>
        <v>0</v>
      </c>
      <c r="L181" s="105" t="str">
        <f>$B$37</f>
        <v>Floor Finish @ Shower</v>
      </c>
      <c r="M181" s="106">
        <v>0</v>
      </c>
      <c r="N181" s="107" t="str">
        <f>$D$37</f>
        <v>SF</v>
      </c>
      <c r="O181" s="107">
        <f t="shared" si="21"/>
        <v>0</v>
      </c>
      <c r="Q181" s="105" t="str">
        <f>$B$37</f>
        <v>Floor Finish @ Shower</v>
      </c>
      <c r="R181" s="106">
        <v>0</v>
      </c>
      <c r="S181" s="107" t="str">
        <f>$D$37</f>
        <v>SF</v>
      </c>
      <c r="T181" s="107">
        <f t="shared" si="22"/>
        <v>0</v>
      </c>
      <c r="V181" s="105" t="str">
        <f>$B$37</f>
        <v>Floor Finish @ Shower</v>
      </c>
      <c r="W181" s="106">
        <v>0</v>
      </c>
      <c r="X181" s="107" t="str">
        <f>$D$37</f>
        <v>SF</v>
      </c>
      <c r="Y181" s="107">
        <f t="shared" si="23"/>
        <v>0</v>
      </c>
      <c r="AA181" s="105" t="str">
        <f>$B$37</f>
        <v>Floor Finish @ Shower</v>
      </c>
      <c r="AB181" s="106">
        <v>0</v>
      </c>
      <c r="AC181" s="107" t="str">
        <f>$D$37</f>
        <v>SF</v>
      </c>
      <c r="AD181" s="107">
        <f t="shared" si="24"/>
        <v>0</v>
      </c>
      <c r="CI181" s="76"/>
      <c r="CJ181" s="76"/>
      <c r="CK181" s="76"/>
      <c r="CL181" s="76"/>
      <c r="CM181" s="76"/>
      <c r="CN181" s="76"/>
      <c r="CO181" s="76"/>
      <c r="CP181" s="76"/>
      <c r="CQ181" s="76"/>
      <c r="CR181" s="76"/>
      <c r="CS181" s="76"/>
    </row>
    <row r="182" spans="2:97" s="72" customFormat="1">
      <c r="B182" s="105" t="str">
        <f>$B$41</f>
        <v>Wall Base</v>
      </c>
      <c r="C182" s="106">
        <f t="shared" si="19"/>
        <v>440</v>
      </c>
      <c r="D182" s="107" t="str">
        <f>$D$41</f>
        <v>LF</v>
      </c>
      <c r="G182" s="105" t="str">
        <f>$B$41</f>
        <v>Wall Base</v>
      </c>
      <c r="H182" s="106">
        <v>87.307100000000005</v>
      </c>
      <c r="I182" s="107" t="str">
        <f>$D$41</f>
        <v>LF</v>
      </c>
      <c r="J182" s="107">
        <f t="shared" si="20"/>
        <v>88</v>
      </c>
      <c r="L182" s="105" t="str">
        <f>$B$41</f>
        <v>Wall Base</v>
      </c>
      <c r="M182" s="106">
        <v>87.307100000000005</v>
      </c>
      <c r="N182" s="107" t="str">
        <f>$D$41</f>
        <v>LF</v>
      </c>
      <c r="O182" s="107">
        <f t="shared" si="21"/>
        <v>88</v>
      </c>
      <c r="Q182" s="105" t="str">
        <f>$B$41</f>
        <v>Wall Base</v>
      </c>
      <c r="R182" s="106">
        <v>87.307100000000005</v>
      </c>
      <c r="S182" s="107" t="str">
        <f>$D$41</f>
        <v>LF</v>
      </c>
      <c r="T182" s="107">
        <f t="shared" si="22"/>
        <v>88</v>
      </c>
      <c r="V182" s="105" t="str">
        <f>$B$41</f>
        <v>Wall Base</v>
      </c>
      <c r="W182" s="106">
        <v>87.307100000000005</v>
      </c>
      <c r="X182" s="107" t="str">
        <f>$D$41</f>
        <v>LF</v>
      </c>
      <c r="Y182" s="107">
        <f t="shared" si="23"/>
        <v>88</v>
      </c>
      <c r="AA182" s="105" t="str">
        <f>$B$41</f>
        <v>Wall Base</v>
      </c>
      <c r="AB182" s="106">
        <v>87.307100000000005</v>
      </c>
      <c r="AC182" s="107" t="str">
        <f>$D$41</f>
        <v>LF</v>
      </c>
      <c r="AD182" s="107">
        <f t="shared" si="24"/>
        <v>88</v>
      </c>
      <c r="CI182" s="76"/>
      <c r="CJ182" s="76"/>
      <c r="CK182" s="76"/>
      <c r="CL182" s="76"/>
      <c r="CM182" s="76"/>
      <c r="CN182" s="76"/>
      <c r="CO182" s="76"/>
      <c r="CP182" s="76"/>
      <c r="CQ182" s="76"/>
      <c r="CR182" s="76"/>
      <c r="CS182" s="76"/>
    </row>
    <row r="183" spans="2:97" s="72" customFormat="1">
      <c r="B183" s="105" t="str">
        <f>$B$45</f>
        <v>Wall Tile @ Bathroom @ Ht. 9'0" (Assumed)</v>
      </c>
      <c r="C183" s="106">
        <f t="shared" si="19"/>
        <v>0</v>
      </c>
      <c r="D183" s="107" t="str">
        <f>$D$45</f>
        <v>LF</v>
      </c>
      <c r="G183" s="105" t="str">
        <f>$B$45</f>
        <v>Wall Tile @ Bathroom @ Ht. 9'0" (Assumed)</v>
      </c>
      <c r="H183" s="106">
        <v>0</v>
      </c>
      <c r="I183" s="107" t="str">
        <f>$D$45</f>
        <v>LF</v>
      </c>
      <c r="J183" s="107">
        <f t="shared" si="20"/>
        <v>0</v>
      </c>
      <c r="L183" s="105" t="str">
        <f>$B$45</f>
        <v>Wall Tile @ Bathroom @ Ht. 9'0" (Assumed)</v>
      </c>
      <c r="M183" s="106">
        <v>0</v>
      </c>
      <c r="N183" s="107" t="str">
        <f>$D$45</f>
        <v>LF</v>
      </c>
      <c r="O183" s="107">
        <f t="shared" si="21"/>
        <v>0</v>
      </c>
      <c r="Q183" s="105" t="str">
        <f>$B$45</f>
        <v>Wall Tile @ Bathroom @ Ht. 9'0" (Assumed)</v>
      </c>
      <c r="R183" s="106">
        <v>0</v>
      </c>
      <c r="S183" s="107" t="str">
        <f>$D$45</f>
        <v>LF</v>
      </c>
      <c r="T183" s="107">
        <f t="shared" si="22"/>
        <v>0</v>
      </c>
      <c r="V183" s="105" t="str">
        <f>$B$45</f>
        <v>Wall Tile @ Bathroom @ Ht. 9'0" (Assumed)</v>
      </c>
      <c r="W183" s="106">
        <v>0</v>
      </c>
      <c r="X183" s="107" t="str">
        <f>$D$45</f>
        <v>LF</v>
      </c>
      <c r="Y183" s="107">
        <f t="shared" si="23"/>
        <v>0</v>
      </c>
      <c r="AA183" s="105" t="str">
        <f>$B$45</f>
        <v>Wall Tile @ Bathroom @ Ht. 9'0" (Assumed)</v>
      </c>
      <c r="AB183" s="106">
        <v>0</v>
      </c>
      <c r="AC183" s="107" t="str">
        <f>$D$45</f>
        <v>LF</v>
      </c>
      <c r="AD183" s="107">
        <f t="shared" si="24"/>
        <v>0</v>
      </c>
      <c r="CI183" s="76"/>
      <c r="CJ183" s="76"/>
      <c r="CK183" s="76"/>
      <c r="CL183" s="76"/>
      <c r="CM183" s="76"/>
      <c r="CN183" s="76"/>
      <c r="CO183" s="76"/>
      <c r="CP183" s="76"/>
      <c r="CQ183" s="76"/>
      <c r="CR183" s="76"/>
      <c r="CS183" s="76"/>
    </row>
    <row r="184" spans="2:97" s="72" customFormat="1">
      <c r="B184" s="105" t="str">
        <f>$B$50</f>
        <v>Shower Enclosure Door W/ Partition</v>
      </c>
      <c r="C184" s="106">
        <f t="shared" si="19"/>
        <v>5</v>
      </c>
      <c r="D184" s="107" t="str">
        <f>$D$50</f>
        <v>EA</v>
      </c>
      <c r="G184" s="105" t="str">
        <f>$B$50</f>
        <v>Shower Enclosure Door W/ Partition</v>
      </c>
      <c r="H184" s="106">
        <v>1</v>
      </c>
      <c r="I184" s="107" t="str">
        <f>$D$50</f>
        <v>EA</v>
      </c>
      <c r="J184" s="107">
        <f t="shared" si="20"/>
        <v>1</v>
      </c>
      <c r="L184" s="105" t="str">
        <f>$B$50</f>
        <v>Shower Enclosure Door W/ Partition</v>
      </c>
      <c r="M184" s="106">
        <v>1</v>
      </c>
      <c r="N184" s="107" t="str">
        <f>$D$50</f>
        <v>EA</v>
      </c>
      <c r="O184" s="107">
        <f t="shared" si="21"/>
        <v>1</v>
      </c>
      <c r="Q184" s="105" t="str">
        <f>$B$50</f>
        <v>Shower Enclosure Door W/ Partition</v>
      </c>
      <c r="R184" s="106">
        <v>1</v>
      </c>
      <c r="S184" s="107" t="str">
        <f>$D$50</f>
        <v>EA</v>
      </c>
      <c r="T184" s="107">
        <f t="shared" si="22"/>
        <v>1</v>
      </c>
      <c r="V184" s="105" t="str">
        <f>$B$50</f>
        <v>Shower Enclosure Door W/ Partition</v>
      </c>
      <c r="W184" s="106">
        <v>1</v>
      </c>
      <c r="X184" s="107" t="str">
        <f>$D$50</f>
        <v>EA</v>
      </c>
      <c r="Y184" s="107">
        <f t="shared" si="23"/>
        <v>1</v>
      </c>
      <c r="AA184" s="105" t="str">
        <f>$B$50</f>
        <v>Shower Enclosure Door W/ Partition</v>
      </c>
      <c r="AB184" s="106">
        <v>1</v>
      </c>
      <c r="AC184" s="107" t="str">
        <f>$D$50</f>
        <v>EA</v>
      </c>
      <c r="AD184" s="107">
        <f t="shared" si="24"/>
        <v>1</v>
      </c>
      <c r="CI184" s="76"/>
      <c r="CJ184" s="76"/>
      <c r="CK184" s="76"/>
      <c r="CL184" s="76"/>
      <c r="CM184" s="76"/>
      <c r="CN184" s="76"/>
      <c r="CO184" s="76"/>
      <c r="CP184" s="76"/>
      <c r="CQ184" s="76"/>
      <c r="CR184" s="76"/>
      <c r="CS184" s="76"/>
    </row>
    <row r="185" spans="2:97" s="72" customFormat="1">
      <c r="B185" s="105" t="str">
        <f>$B$52</f>
        <v>Lavatory</v>
      </c>
      <c r="C185" s="106">
        <f t="shared" si="19"/>
        <v>5</v>
      </c>
      <c r="D185" s="107" t="str">
        <f>$D$52</f>
        <v>EA</v>
      </c>
      <c r="G185" s="105" t="str">
        <f>$B$52</f>
        <v>Lavatory</v>
      </c>
      <c r="H185" s="106">
        <v>1</v>
      </c>
      <c r="I185" s="107" t="str">
        <f>$D$52</f>
        <v>EA</v>
      </c>
      <c r="J185" s="107">
        <f t="shared" si="20"/>
        <v>1</v>
      </c>
      <c r="L185" s="105" t="str">
        <f>$B$52</f>
        <v>Lavatory</v>
      </c>
      <c r="M185" s="106">
        <v>1</v>
      </c>
      <c r="N185" s="107" t="str">
        <f>$D$52</f>
        <v>EA</v>
      </c>
      <c r="O185" s="107">
        <f t="shared" si="21"/>
        <v>1</v>
      </c>
      <c r="Q185" s="105" t="str">
        <f>$B$52</f>
        <v>Lavatory</v>
      </c>
      <c r="R185" s="106">
        <v>1</v>
      </c>
      <c r="S185" s="107" t="str">
        <f>$D$52</f>
        <v>EA</v>
      </c>
      <c r="T185" s="107">
        <f t="shared" si="22"/>
        <v>1</v>
      </c>
      <c r="V185" s="105" t="str">
        <f>$B$52</f>
        <v>Lavatory</v>
      </c>
      <c r="W185" s="106">
        <v>1</v>
      </c>
      <c r="X185" s="107" t="str">
        <f>$D$52</f>
        <v>EA</v>
      </c>
      <c r="Y185" s="107">
        <f t="shared" si="23"/>
        <v>1</v>
      </c>
      <c r="AA185" s="105" t="str">
        <f>$B$52</f>
        <v>Lavatory</v>
      </c>
      <c r="AB185" s="106">
        <v>1</v>
      </c>
      <c r="AC185" s="107" t="str">
        <f>$D$52</f>
        <v>EA</v>
      </c>
      <c r="AD185" s="107">
        <f t="shared" si="24"/>
        <v>1</v>
      </c>
      <c r="CI185" s="76"/>
      <c r="CJ185" s="76"/>
      <c r="CK185" s="76"/>
      <c r="CL185" s="76"/>
      <c r="CM185" s="76"/>
      <c r="CN185" s="76"/>
      <c r="CO185" s="76"/>
      <c r="CP185" s="76"/>
      <c r="CQ185" s="76"/>
      <c r="CR185" s="76"/>
      <c r="CS185" s="76"/>
    </row>
    <row r="186" spans="2:97" s="72" customFormat="1">
      <c r="B186" s="105" t="str">
        <f>$B$54</f>
        <v>Shower</v>
      </c>
      <c r="C186" s="106">
        <f t="shared" si="19"/>
        <v>5</v>
      </c>
      <c r="D186" s="107" t="str">
        <f>$D$54</f>
        <v>EA</v>
      </c>
      <c r="G186" s="105" t="str">
        <f>$B$54</f>
        <v>Shower</v>
      </c>
      <c r="H186" s="106">
        <v>1</v>
      </c>
      <c r="I186" s="107" t="str">
        <f>$D$54</f>
        <v>EA</v>
      </c>
      <c r="J186" s="107">
        <f t="shared" si="20"/>
        <v>1</v>
      </c>
      <c r="L186" s="105" t="str">
        <f>$B$54</f>
        <v>Shower</v>
      </c>
      <c r="M186" s="106">
        <v>1</v>
      </c>
      <c r="N186" s="107" t="str">
        <f>$D$54</f>
        <v>EA</v>
      </c>
      <c r="O186" s="107">
        <f t="shared" si="21"/>
        <v>1</v>
      </c>
      <c r="Q186" s="105" t="str">
        <f>$B$54</f>
        <v>Shower</v>
      </c>
      <c r="R186" s="106">
        <v>1</v>
      </c>
      <c r="S186" s="107" t="str">
        <f>$D$54</f>
        <v>EA</v>
      </c>
      <c r="T186" s="107">
        <f t="shared" si="22"/>
        <v>1</v>
      </c>
      <c r="V186" s="105" t="str">
        <f>$B$54</f>
        <v>Shower</v>
      </c>
      <c r="W186" s="106">
        <v>1</v>
      </c>
      <c r="X186" s="107" t="str">
        <f>$D$54</f>
        <v>EA</v>
      </c>
      <c r="Y186" s="107">
        <f t="shared" si="23"/>
        <v>1</v>
      </c>
      <c r="AA186" s="105" t="str">
        <f>$B$54</f>
        <v>Shower</v>
      </c>
      <c r="AB186" s="106">
        <v>1</v>
      </c>
      <c r="AC186" s="107" t="str">
        <f>$D$54</f>
        <v>EA</v>
      </c>
      <c r="AD186" s="107">
        <f t="shared" si="24"/>
        <v>1</v>
      </c>
      <c r="CI186" s="76"/>
      <c r="CJ186" s="76"/>
      <c r="CK186" s="76"/>
      <c r="CL186" s="76"/>
      <c r="CM186" s="76"/>
      <c r="CN186" s="76"/>
      <c r="CO186" s="76"/>
      <c r="CP186" s="76"/>
      <c r="CQ186" s="76"/>
      <c r="CR186" s="76"/>
      <c r="CS186" s="76"/>
    </row>
    <row r="187" spans="2:97" s="72" customFormat="1">
      <c r="B187" s="105" t="str">
        <f>$B$56</f>
        <v>Water Closet</v>
      </c>
      <c r="C187" s="106">
        <f t="shared" si="19"/>
        <v>5</v>
      </c>
      <c r="D187" s="107" t="str">
        <f>$D$56</f>
        <v>EA</v>
      </c>
      <c r="G187" s="105" t="str">
        <f>$B$56</f>
        <v>Water Closet</v>
      </c>
      <c r="H187" s="106">
        <v>1</v>
      </c>
      <c r="I187" s="107" t="str">
        <f>$D$56</f>
        <v>EA</v>
      </c>
      <c r="J187" s="107">
        <f t="shared" si="20"/>
        <v>1</v>
      </c>
      <c r="L187" s="105" t="str">
        <f>$B$56</f>
        <v>Water Closet</v>
      </c>
      <c r="M187" s="106">
        <v>1</v>
      </c>
      <c r="N187" s="107" t="str">
        <f>$D$56</f>
        <v>EA</v>
      </c>
      <c r="O187" s="107">
        <f t="shared" si="21"/>
        <v>1</v>
      </c>
      <c r="Q187" s="105" t="str">
        <f>$B$56</f>
        <v>Water Closet</v>
      </c>
      <c r="R187" s="106">
        <v>1</v>
      </c>
      <c r="S187" s="107" t="str">
        <f>$D$56</f>
        <v>EA</v>
      </c>
      <c r="T187" s="107">
        <f t="shared" si="22"/>
        <v>1</v>
      </c>
      <c r="V187" s="105" t="str">
        <f>$B$56</f>
        <v>Water Closet</v>
      </c>
      <c r="W187" s="106">
        <v>1</v>
      </c>
      <c r="X187" s="107" t="str">
        <f>$D$56</f>
        <v>EA</v>
      </c>
      <c r="Y187" s="107">
        <f t="shared" si="23"/>
        <v>1</v>
      </c>
      <c r="AA187" s="105" t="str">
        <f>$B$56</f>
        <v>Water Closet</v>
      </c>
      <c r="AB187" s="106">
        <v>1</v>
      </c>
      <c r="AC187" s="107" t="str">
        <f>$D$56</f>
        <v>EA</v>
      </c>
      <c r="AD187" s="107">
        <f t="shared" si="24"/>
        <v>1</v>
      </c>
      <c r="CI187" s="76"/>
      <c r="CJ187" s="76"/>
      <c r="CK187" s="76"/>
      <c r="CL187" s="76"/>
      <c r="CM187" s="76"/>
      <c r="CN187" s="76"/>
      <c r="CO187" s="76"/>
      <c r="CP187" s="76"/>
      <c r="CQ187" s="76"/>
      <c r="CR187" s="76"/>
      <c r="CS187" s="76"/>
    </row>
    <row r="188" spans="2:97" s="72" customFormat="1">
      <c r="B188" s="105" t="str">
        <f>$B$61</f>
        <v>Chilled Water Concealed Ducted Unit w/ Electric Heat</v>
      </c>
      <c r="C188" s="106">
        <f t="shared" si="19"/>
        <v>5</v>
      </c>
      <c r="D188" s="107" t="str">
        <f>$D$61</f>
        <v>EA</v>
      </c>
      <c r="G188" s="105" t="str">
        <f>$B$61</f>
        <v>Chilled Water Concealed Ducted Unit w/ Electric Heat</v>
      </c>
      <c r="H188" s="106">
        <v>1</v>
      </c>
      <c r="I188" s="107" t="str">
        <f>$D$61</f>
        <v>EA</v>
      </c>
      <c r="J188" s="107">
        <f t="shared" si="20"/>
        <v>1</v>
      </c>
      <c r="L188" s="105" t="str">
        <f>$B$61</f>
        <v>Chilled Water Concealed Ducted Unit w/ Electric Heat</v>
      </c>
      <c r="M188" s="106">
        <v>1</v>
      </c>
      <c r="N188" s="107" t="str">
        <f>$D$61</f>
        <v>EA</v>
      </c>
      <c r="O188" s="107">
        <f t="shared" si="21"/>
        <v>1</v>
      </c>
      <c r="Q188" s="105" t="str">
        <f>$B$61</f>
        <v>Chilled Water Concealed Ducted Unit w/ Electric Heat</v>
      </c>
      <c r="R188" s="106">
        <v>1</v>
      </c>
      <c r="S188" s="107" t="str">
        <f>$D$61</f>
        <v>EA</v>
      </c>
      <c r="T188" s="107">
        <f t="shared" si="22"/>
        <v>1</v>
      </c>
      <c r="V188" s="105" t="str">
        <f>$B$61</f>
        <v>Chilled Water Concealed Ducted Unit w/ Electric Heat</v>
      </c>
      <c r="W188" s="106">
        <v>1</v>
      </c>
      <c r="X188" s="107" t="str">
        <f>$D$61</f>
        <v>EA</v>
      </c>
      <c r="Y188" s="107">
        <f t="shared" si="23"/>
        <v>1</v>
      </c>
      <c r="AA188" s="105" t="str">
        <f>$B$61</f>
        <v>Chilled Water Concealed Ducted Unit w/ Electric Heat</v>
      </c>
      <c r="AB188" s="106">
        <v>1</v>
      </c>
      <c r="AC188" s="107" t="str">
        <f>$D$61</f>
        <v>EA</v>
      </c>
      <c r="AD188" s="107">
        <f t="shared" si="24"/>
        <v>1</v>
      </c>
      <c r="CI188" s="76"/>
      <c r="CJ188" s="76"/>
      <c r="CK188" s="76"/>
      <c r="CL188" s="76"/>
      <c r="CM188" s="76"/>
      <c r="CN188" s="76"/>
      <c r="CO188" s="76"/>
      <c r="CP188" s="76"/>
      <c r="CQ188" s="76"/>
      <c r="CR188" s="76"/>
      <c r="CS188" s="76"/>
    </row>
    <row r="189" spans="2:97" s="72" customFormat="1">
      <c r="B189" s="108" t="str">
        <f>$B$66</f>
        <v>Panel Board</v>
      </c>
      <c r="C189" s="109">
        <f t="shared" si="19"/>
        <v>5</v>
      </c>
      <c r="D189" s="110" t="str">
        <f>$D$66</f>
        <v>EA</v>
      </c>
      <c r="G189" s="108" t="str">
        <f>$B$66</f>
        <v>Panel Board</v>
      </c>
      <c r="H189" s="109">
        <v>1</v>
      </c>
      <c r="I189" s="110" t="str">
        <f>$D$66</f>
        <v>EA</v>
      </c>
      <c r="J189" s="110">
        <f t="shared" si="20"/>
        <v>1</v>
      </c>
      <c r="L189" s="108" t="str">
        <f>$B$66</f>
        <v>Panel Board</v>
      </c>
      <c r="M189" s="109">
        <v>1</v>
      </c>
      <c r="N189" s="110" t="str">
        <f>$D$66</f>
        <v>EA</v>
      </c>
      <c r="O189" s="110">
        <f t="shared" si="21"/>
        <v>1</v>
      </c>
      <c r="Q189" s="108" t="str">
        <f>$B$66</f>
        <v>Panel Board</v>
      </c>
      <c r="R189" s="109">
        <v>1</v>
      </c>
      <c r="S189" s="110" t="str">
        <f>$D$66</f>
        <v>EA</v>
      </c>
      <c r="T189" s="110">
        <f t="shared" si="22"/>
        <v>1</v>
      </c>
      <c r="V189" s="108" t="str">
        <f>$B$66</f>
        <v>Panel Board</v>
      </c>
      <c r="W189" s="109">
        <v>1</v>
      </c>
      <c r="X189" s="110" t="str">
        <f>$D$66</f>
        <v>EA</v>
      </c>
      <c r="Y189" s="110">
        <f t="shared" si="23"/>
        <v>1</v>
      </c>
      <c r="AA189" s="108" t="str">
        <f>$B$66</f>
        <v>Panel Board</v>
      </c>
      <c r="AB189" s="109">
        <v>1</v>
      </c>
      <c r="AC189" s="110" t="str">
        <f>$D$66</f>
        <v>EA</v>
      </c>
      <c r="AD189" s="110">
        <f t="shared" si="24"/>
        <v>1</v>
      </c>
      <c r="CI189" s="76"/>
      <c r="CJ189" s="76"/>
      <c r="CK189" s="76"/>
      <c r="CL189" s="76"/>
      <c r="CM189" s="76"/>
      <c r="CN189" s="76"/>
      <c r="CO189" s="76"/>
      <c r="CP189" s="76"/>
      <c r="CQ189" s="76"/>
      <c r="CR189" s="76"/>
      <c r="CS189" s="76"/>
    </row>
    <row r="190" spans="2:97" s="72" customFormat="1"/>
    <row r="191" spans="2:97" s="72" customFormat="1"/>
    <row r="192" spans="2:97" s="72" customFormat="1"/>
    <row r="193" spans="1:97" s="75" customFormat="1" ht="15.75">
      <c r="A193" s="74"/>
      <c r="B193" s="111" t="s">
        <v>73</v>
      </c>
      <c r="C193" s="112">
        <f>H193+M193+R193+W193+AB193</f>
        <v>9</v>
      </c>
      <c r="D193" s="113"/>
      <c r="E193" s="74"/>
      <c r="F193" s="74"/>
      <c r="G193" s="114" t="s">
        <v>65</v>
      </c>
      <c r="H193" s="115">
        <v>2</v>
      </c>
      <c r="I193" s="115" t="s">
        <v>25</v>
      </c>
      <c r="J193" s="120"/>
      <c r="K193" s="74"/>
      <c r="L193" s="114" t="s">
        <v>66</v>
      </c>
      <c r="M193" s="115">
        <v>2</v>
      </c>
      <c r="N193" s="115" t="s">
        <v>25</v>
      </c>
      <c r="O193" s="120"/>
      <c r="P193" s="74"/>
      <c r="Q193" s="114" t="s">
        <v>67</v>
      </c>
      <c r="R193" s="115">
        <v>2</v>
      </c>
      <c r="S193" s="115" t="s">
        <v>25</v>
      </c>
      <c r="T193" s="120"/>
      <c r="U193" s="74"/>
      <c r="V193" s="114" t="s">
        <v>68</v>
      </c>
      <c r="W193" s="115">
        <v>2</v>
      </c>
      <c r="X193" s="115" t="s">
        <v>25</v>
      </c>
      <c r="Y193" s="120"/>
      <c r="Z193" s="74"/>
      <c r="AA193" s="114" t="s">
        <v>69</v>
      </c>
      <c r="AB193" s="115">
        <v>1</v>
      </c>
      <c r="AC193" s="115" t="s">
        <v>25</v>
      </c>
      <c r="AD193" s="120"/>
      <c r="AE193" s="74"/>
      <c r="AF193" s="74"/>
      <c r="AG193" s="74"/>
      <c r="AH193" s="74"/>
      <c r="AI193" s="74"/>
      <c r="AJ193" s="74"/>
      <c r="AK193" s="74"/>
      <c r="AL193" s="74"/>
      <c r="AM193" s="74"/>
      <c r="AN193" s="74"/>
      <c r="AO193" s="74"/>
      <c r="AP193" s="74"/>
      <c r="AQ193" s="74"/>
      <c r="AR193" s="74"/>
      <c r="AS193" s="74"/>
      <c r="AT193" s="74"/>
      <c r="AU193" s="74"/>
      <c r="AV193" s="74"/>
      <c r="AW193" s="74"/>
      <c r="AX193" s="74"/>
      <c r="AY193" s="74"/>
      <c r="AZ193" s="74"/>
      <c r="BA193" s="74"/>
      <c r="BB193" s="74"/>
      <c r="BC193" s="74"/>
      <c r="BD193" s="74"/>
      <c r="BE193" s="74"/>
      <c r="BF193" s="74"/>
      <c r="BG193" s="74"/>
      <c r="BH193" s="74"/>
      <c r="BI193" s="74"/>
      <c r="BJ193" s="74"/>
      <c r="BK193" s="74"/>
      <c r="BL193" s="74"/>
      <c r="BM193" s="74"/>
      <c r="BN193" s="74"/>
      <c r="BO193" s="74"/>
      <c r="BP193" s="74"/>
      <c r="BQ193" s="74"/>
      <c r="BR193" s="74"/>
      <c r="BS193" s="74"/>
      <c r="BT193" s="74"/>
      <c r="BU193" s="74"/>
      <c r="BV193" s="74"/>
      <c r="BW193" s="74"/>
      <c r="BX193" s="74"/>
      <c r="BY193" s="74"/>
      <c r="BZ193" s="74"/>
      <c r="CA193" s="74"/>
      <c r="CB193" s="74"/>
      <c r="CC193" s="74"/>
      <c r="CD193" s="74"/>
      <c r="CE193" s="74"/>
      <c r="CF193" s="74"/>
      <c r="CG193" s="74"/>
      <c r="CH193" s="74"/>
    </row>
    <row r="194" spans="1:97" s="75" customFormat="1" ht="15.75">
      <c r="A194" s="74"/>
      <c r="B194" s="116"/>
      <c r="C194" s="117"/>
      <c r="D194" s="118"/>
      <c r="E194" s="74"/>
      <c r="F194" s="74"/>
      <c r="G194" s="116"/>
      <c r="H194" s="119"/>
      <c r="I194" s="121"/>
      <c r="J194" s="121"/>
      <c r="K194" s="74"/>
      <c r="L194" s="116"/>
      <c r="M194" s="119"/>
      <c r="N194" s="121"/>
      <c r="O194" s="121"/>
      <c r="P194" s="74"/>
      <c r="Q194" s="116"/>
      <c r="R194" s="119"/>
      <c r="S194" s="121"/>
      <c r="T194" s="121"/>
      <c r="U194" s="74"/>
      <c r="V194" s="116"/>
      <c r="W194" s="119"/>
      <c r="X194" s="121"/>
      <c r="Y194" s="121"/>
      <c r="Z194" s="74"/>
      <c r="AA194" s="116"/>
      <c r="AB194" s="119"/>
      <c r="AC194" s="121"/>
      <c r="AD194" s="121"/>
      <c r="AE194" s="74"/>
      <c r="AF194" s="74"/>
      <c r="AG194" s="74"/>
      <c r="AH194" s="74"/>
      <c r="AI194" s="74"/>
      <c r="AJ194" s="74"/>
      <c r="AK194" s="74"/>
      <c r="AL194" s="74"/>
      <c r="AM194" s="74"/>
      <c r="AN194" s="74"/>
      <c r="AO194" s="74"/>
      <c r="AP194" s="74"/>
      <c r="AQ194" s="74"/>
      <c r="AR194" s="74"/>
      <c r="AS194" s="74"/>
      <c r="AT194" s="74"/>
      <c r="AU194" s="74"/>
      <c r="AV194" s="74"/>
      <c r="AW194" s="74"/>
      <c r="AX194" s="74"/>
      <c r="AY194" s="74"/>
      <c r="AZ194" s="74"/>
      <c r="BA194" s="74"/>
      <c r="BB194" s="74"/>
      <c r="BC194" s="74"/>
      <c r="BD194" s="74"/>
      <c r="BE194" s="74"/>
      <c r="BF194" s="74"/>
      <c r="BG194" s="74"/>
      <c r="BH194" s="74"/>
      <c r="BI194" s="74"/>
      <c r="BJ194" s="74"/>
      <c r="BK194" s="74"/>
      <c r="BL194" s="74"/>
      <c r="BM194" s="74"/>
      <c r="BN194" s="74"/>
      <c r="BO194" s="74"/>
      <c r="BP194" s="74"/>
      <c r="BQ194" s="74"/>
      <c r="BR194" s="74"/>
      <c r="BS194" s="74"/>
      <c r="BT194" s="74"/>
      <c r="BU194" s="74"/>
      <c r="BV194" s="74"/>
      <c r="BW194" s="74"/>
      <c r="BX194" s="74"/>
      <c r="BY194" s="74"/>
      <c r="BZ194" s="74"/>
      <c r="CA194" s="74"/>
      <c r="CB194" s="74"/>
      <c r="CC194" s="74"/>
      <c r="CD194" s="74"/>
      <c r="CE194" s="74"/>
      <c r="CF194" s="74"/>
      <c r="CG194" s="74"/>
      <c r="CH194" s="74"/>
    </row>
    <row r="195" spans="1:97">
      <c r="B195" s="102" t="str">
        <f>$B$7</f>
        <v>1 Bed / 1 Bath</v>
      </c>
      <c r="C195" s="103">
        <f t="shared" ref="C195:C214" si="25">AD195+Y195+T195+O195+J195</f>
        <v>9</v>
      </c>
      <c r="D195" s="104" t="str">
        <f>$D$7</f>
        <v>EA</v>
      </c>
      <c r="G195" s="102" t="str">
        <f>$B$7</f>
        <v>1 Bed / 1 Bath</v>
      </c>
      <c r="H195" s="103">
        <v>1</v>
      </c>
      <c r="I195" s="104" t="str">
        <f>$D$7</f>
        <v>EA</v>
      </c>
      <c r="J195" s="104">
        <f t="shared" ref="J195:J214" si="26">ROUNDUP(H195*$H$193,0)</f>
        <v>2</v>
      </c>
      <c r="L195" s="102" t="str">
        <f>$B$7</f>
        <v>1 Bed / 1 Bath</v>
      </c>
      <c r="M195" s="103">
        <v>1</v>
      </c>
      <c r="N195" s="104" t="str">
        <f>$D$7</f>
        <v>EA</v>
      </c>
      <c r="O195" s="104">
        <f t="shared" ref="O195:O214" si="27">ROUNDUP(M195*$M$193,0)</f>
        <v>2</v>
      </c>
      <c r="Q195" s="102" t="str">
        <f>$B$7</f>
        <v>1 Bed / 1 Bath</v>
      </c>
      <c r="R195" s="103">
        <v>1</v>
      </c>
      <c r="S195" s="104" t="str">
        <f>$D$7</f>
        <v>EA</v>
      </c>
      <c r="T195" s="104">
        <f t="shared" ref="T195:T214" si="28">ROUNDUP(R195*$R$193,0)</f>
        <v>2</v>
      </c>
      <c r="V195" s="102" t="str">
        <f>$B$7</f>
        <v>1 Bed / 1 Bath</v>
      </c>
      <c r="W195" s="103">
        <v>1</v>
      </c>
      <c r="X195" s="104" t="str">
        <f>$D$7</f>
        <v>EA</v>
      </c>
      <c r="Y195" s="104">
        <f t="shared" ref="Y195:Y214" si="29">ROUNDUP(W195*$W$193,0)</f>
        <v>2</v>
      </c>
      <c r="AA195" s="102" t="str">
        <f>$B$7</f>
        <v>1 Bed / 1 Bath</v>
      </c>
      <c r="AB195" s="103">
        <v>1</v>
      </c>
      <c r="AC195" s="104" t="str">
        <f>$D$7</f>
        <v>EA</v>
      </c>
      <c r="AD195" s="104">
        <f t="shared" ref="AD195:AD214" si="30">ROUNDUP(AB195*$AB$193,0)</f>
        <v>1</v>
      </c>
    </row>
    <row r="196" spans="1:97">
      <c r="B196" s="105" t="str">
        <f>$B$12</f>
        <v>Double Panel Entry Door</v>
      </c>
      <c r="C196" s="106">
        <f t="shared" si="25"/>
        <v>0</v>
      </c>
      <c r="D196" s="107" t="str">
        <f>$D$12</f>
        <v>EA</v>
      </c>
      <c r="G196" s="105" t="str">
        <f>$B$12</f>
        <v>Double Panel Entry Door</v>
      </c>
      <c r="H196" s="106">
        <v>0</v>
      </c>
      <c r="I196" s="107" t="str">
        <f>$D$12</f>
        <v>EA</v>
      </c>
      <c r="J196" s="107">
        <f t="shared" si="26"/>
        <v>0</v>
      </c>
      <c r="L196" s="105" t="str">
        <f>$B$12</f>
        <v>Double Panel Entry Door</v>
      </c>
      <c r="M196" s="106">
        <v>0</v>
      </c>
      <c r="N196" s="107" t="str">
        <f>$D$12</f>
        <v>EA</v>
      </c>
      <c r="O196" s="107">
        <f t="shared" si="27"/>
        <v>0</v>
      </c>
      <c r="Q196" s="105" t="str">
        <f>$B$12</f>
        <v>Double Panel Entry Door</v>
      </c>
      <c r="R196" s="106">
        <v>0</v>
      </c>
      <c r="S196" s="107" t="str">
        <f>$D$12</f>
        <v>EA</v>
      </c>
      <c r="T196" s="107">
        <f t="shared" si="28"/>
        <v>0</v>
      </c>
      <c r="V196" s="105" t="str">
        <f>$B$12</f>
        <v>Double Panel Entry Door</v>
      </c>
      <c r="W196" s="106">
        <v>0</v>
      </c>
      <c r="X196" s="107" t="str">
        <f>$D$12</f>
        <v>EA</v>
      </c>
      <c r="Y196" s="107">
        <f t="shared" si="29"/>
        <v>0</v>
      </c>
      <c r="AA196" s="105" t="str">
        <f>$B$12</f>
        <v>Double Panel Entry Door</v>
      </c>
      <c r="AB196" s="106">
        <v>0</v>
      </c>
      <c r="AC196" s="107" t="str">
        <f>$D$12</f>
        <v>EA</v>
      </c>
      <c r="AD196" s="107">
        <f t="shared" si="30"/>
        <v>0</v>
      </c>
    </row>
    <row r="197" spans="1:97">
      <c r="B197" s="105" t="str">
        <f>$B$14</f>
        <v>Double Panel Interior Door</v>
      </c>
      <c r="C197" s="106">
        <f t="shared" si="25"/>
        <v>0</v>
      </c>
      <c r="D197" s="107" t="str">
        <f>$D$14</f>
        <v>EA</v>
      </c>
      <c r="G197" s="105" t="str">
        <f>$B$14</f>
        <v>Double Panel Interior Door</v>
      </c>
      <c r="H197" s="106">
        <v>0</v>
      </c>
      <c r="I197" s="107" t="str">
        <f>$D$14</f>
        <v>EA</v>
      </c>
      <c r="J197" s="107">
        <f t="shared" si="26"/>
        <v>0</v>
      </c>
      <c r="L197" s="105" t="str">
        <f>$B$14</f>
        <v>Double Panel Interior Door</v>
      </c>
      <c r="M197" s="106">
        <v>0</v>
      </c>
      <c r="N197" s="107" t="str">
        <f>$D$14</f>
        <v>EA</v>
      </c>
      <c r="O197" s="107">
        <f t="shared" si="27"/>
        <v>0</v>
      </c>
      <c r="Q197" s="105" t="str">
        <f>$B$14</f>
        <v>Double Panel Interior Door</v>
      </c>
      <c r="R197" s="106">
        <v>0</v>
      </c>
      <c r="S197" s="107" t="str">
        <f>$D$14</f>
        <v>EA</v>
      </c>
      <c r="T197" s="107">
        <f t="shared" si="28"/>
        <v>0</v>
      </c>
      <c r="V197" s="105" t="str">
        <f>$B$14</f>
        <v>Double Panel Interior Door</v>
      </c>
      <c r="W197" s="106">
        <v>0</v>
      </c>
      <c r="X197" s="107" t="str">
        <f>$D$14</f>
        <v>EA</v>
      </c>
      <c r="Y197" s="107">
        <f t="shared" si="29"/>
        <v>0</v>
      </c>
      <c r="AA197" s="105" t="str">
        <f>$B$14</f>
        <v>Double Panel Interior Door</v>
      </c>
      <c r="AB197" s="106">
        <v>0</v>
      </c>
      <c r="AC197" s="107" t="str">
        <f>$D$14</f>
        <v>EA</v>
      </c>
      <c r="AD197" s="107">
        <f t="shared" si="30"/>
        <v>0</v>
      </c>
    </row>
    <row r="198" spans="1:97">
      <c r="B198" s="105" t="str">
        <f>$B$16</f>
        <v>Single Panel Balcony Door</v>
      </c>
      <c r="C198" s="106">
        <f t="shared" si="25"/>
        <v>9</v>
      </c>
      <c r="D198" s="107" t="str">
        <f>$D$16</f>
        <v>EA</v>
      </c>
      <c r="G198" s="105" t="str">
        <f>$B$16</f>
        <v>Single Panel Balcony Door</v>
      </c>
      <c r="H198" s="106">
        <v>1</v>
      </c>
      <c r="I198" s="107" t="str">
        <f>$D$16</f>
        <v>EA</v>
      </c>
      <c r="J198" s="107">
        <f t="shared" si="26"/>
        <v>2</v>
      </c>
      <c r="L198" s="105" t="str">
        <f>$B$16</f>
        <v>Single Panel Balcony Door</v>
      </c>
      <c r="M198" s="106">
        <v>1</v>
      </c>
      <c r="N198" s="107" t="str">
        <f>$D$16</f>
        <v>EA</v>
      </c>
      <c r="O198" s="107">
        <f t="shared" si="27"/>
        <v>2</v>
      </c>
      <c r="Q198" s="105" t="str">
        <f>$B$16</f>
        <v>Single Panel Balcony Door</v>
      </c>
      <c r="R198" s="106">
        <v>1</v>
      </c>
      <c r="S198" s="107" t="str">
        <f>$D$16</f>
        <v>EA</v>
      </c>
      <c r="T198" s="107">
        <f t="shared" si="28"/>
        <v>2</v>
      </c>
      <c r="V198" s="105" t="str">
        <f>$B$16</f>
        <v>Single Panel Balcony Door</v>
      </c>
      <c r="W198" s="106">
        <v>1</v>
      </c>
      <c r="X198" s="107" t="str">
        <f>$D$16</f>
        <v>EA</v>
      </c>
      <c r="Y198" s="107">
        <f t="shared" si="29"/>
        <v>2</v>
      </c>
      <c r="AA198" s="105" t="str">
        <f>$B$16</f>
        <v>Single Panel Balcony Door</v>
      </c>
      <c r="AB198" s="106">
        <v>1</v>
      </c>
      <c r="AC198" s="107" t="str">
        <f>$D$16</f>
        <v>EA</v>
      </c>
      <c r="AD198" s="107">
        <f t="shared" si="30"/>
        <v>1</v>
      </c>
    </row>
    <row r="199" spans="1:97" s="72" customFormat="1">
      <c r="B199" s="105" t="str">
        <f>$B$18</f>
        <v>Single Panel Entry Door</v>
      </c>
      <c r="C199" s="106">
        <f t="shared" si="25"/>
        <v>9</v>
      </c>
      <c r="D199" s="107" t="str">
        <f>$D$18</f>
        <v>EA</v>
      </c>
      <c r="G199" s="105" t="str">
        <f>$B$18</f>
        <v>Single Panel Entry Door</v>
      </c>
      <c r="H199" s="106">
        <v>1</v>
      </c>
      <c r="I199" s="107" t="str">
        <f>$D$18</f>
        <v>EA</v>
      </c>
      <c r="J199" s="107">
        <f t="shared" si="26"/>
        <v>2</v>
      </c>
      <c r="L199" s="105" t="str">
        <f>$B$18</f>
        <v>Single Panel Entry Door</v>
      </c>
      <c r="M199" s="106">
        <v>1</v>
      </c>
      <c r="N199" s="107" t="str">
        <f>$D$18</f>
        <v>EA</v>
      </c>
      <c r="O199" s="107">
        <f t="shared" si="27"/>
        <v>2</v>
      </c>
      <c r="Q199" s="105" t="str">
        <f>$B$18</f>
        <v>Single Panel Entry Door</v>
      </c>
      <c r="R199" s="106">
        <v>1</v>
      </c>
      <c r="S199" s="107" t="str">
        <f>$D$18</f>
        <v>EA</v>
      </c>
      <c r="T199" s="107">
        <f t="shared" si="28"/>
        <v>2</v>
      </c>
      <c r="V199" s="105" t="str">
        <f>$B$18</f>
        <v>Single Panel Entry Door</v>
      </c>
      <c r="W199" s="106">
        <v>1</v>
      </c>
      <c r="X199" s="107" t="str">
        <f>$D$18</f>
        <v>EA</v>
      </c>
      <c r="Y199" s="107">
        <f t="shared" si="29"/>
        <v>2</v>
      </c>
      <c r="AA199" s="105" t="str">
        <f>$B$18</f>
        <v>Single Panel Entry Door</v>
      </c>
      <c r="AB199" s="106">
        <v>1</v>
      </c>
      <c r="AC199" s="107" t="str">
        <f>$D$18</f>
        <v>EA</v>
      </c>
      <c r="AD199" s="107">
        <f t="shared" si="30"/>
        <v>1</v>
      </c>
      <c r="CI199" s="76"/>
      <c r="CJ199" s="76"/>
      <c r="CK199" s="76"/>
      <c r="CL199" s="76"/>
      <c r="CM199" s="76"/>
      <c r="CN199" s="76"/>
      <c r="CO199" s="76"/>
      <c r="CP199" s="76"/>
      <c r="CQ199" s="76"/>
      <c r="CR199" s="76"/>
      <c r="CS199" s="76"/>
    </row>
    <row r="200" spans="1:97" s="72" customFormat="1">
      <c r="B200" s="105" t="str">
        <f>$B$20</f>
        <v>Single Panel Interior Door</v>
      </c>
      <c r="C200" s="106">
        <f t="shared" si="25"/>
        <v>9</v>
      </c>
      <c r="D200" s="107" t="str">
        <f>$D$20</f>
        <v>EA</v>
      </c>
      <c r="G200" s="105" t="str">
        <f>$B$20</f>
        <v>Single Panel Interior Door</v>
      </c>
      <c r="H200" s="106">
        <v>1</v>
      </c>
      <c r="I200" s="107" t="str">
        <f>$D$20</f>
        <v>EA</v>
      </c>
      <c r="J200" s="107">
        <f t="shared" si="26"/>
        <v>2</v>
      </c>
      <c r="L200" s="105" t="str">
        <f>$B$20</f>
        <v>Single Panel Interior Door</v>
      </c>
      <c r="M200" s="106">
        <v>1</v>
      </c>
      <c r="N200" s="107" t="str">
        <f>$D$20</f>
        <v>EA</v>
      </c>
      <c r="O200" s="107">
        <f t="shared" si="27"/>
        <v>2</v>
      </c>
      <c r="Q200" s="105" t="str">
        <f>$B$20</f>
        <v>Single Panel Interior Door</v>
      </c>
      <c r="R200" s="106">
        <v>1</v>
      </c>
      <c r="S200" s="107" t="str">
        <f>$D$20</f>
        <v>EA</v>
      </c>
      <c r="T200" s="107">
        <f t="shared" si="28"/>
        <v>2</v>
      </c>
      <c r="V200" s="105" t="str">
        <f>$B$20</f>
        <v>Single Panel Interior Door</v>
      </c>
      <c r="W200" s="106">
        <v>1</v>
      </c>
      <c r="X200" s="107" t="str">
        <f>$D$20</f>
        <v>EA</v>
      </c>
      <c r="Y200" s="107">
        <f t="shared" si="29"/>
        <v>2</v>
      </c>
      <c r="AA200" s="105" t="str">
        <f>$B$20</f>
        <v>Single Panel Interior Door</v>
      </c>
      <c r="AB200" s="106">
        <v>1</v>
      </c>
      <c r="AC200" s="107" t="str">
        <f>$D$20</f>
        <v>EA</v>
      </c>
      <c r="AD200" s="107">
        <f t="shared" si="30"/>
        <v>1</v>
      </c>
      <c r="CI200" s="76"/>
      <c r="CJ200" s="76"/>
      <c r="CK200" s="76"/>
      <c r="CL200" s="76"/>
      <c r="CM200" s="76"/>
      <c r="CN200" s="76"/>
      <c r="CO200" s="76"/>
      <c r="CP200" s="76"/>
      <c r="CQ200" s="76"/>
      <c r="CR200" s="76"/>
      <c r="CS200" s="76"/>
    </row>
    <row r="201" spans="1:97" s="72" customFormat="1">
      <c r="B201" s="105" t="str">
        <f>$B$25</f>
        <v>Skim Coat Gypsum Plaster Ceiling</v>
      </c>
      <c r="C201" s="106">
        <f t="shared" si="25"/>
        <v>7110</v>
      </c>
      <c r="D201" s="107" t="str">
        <f>$D$25</f>
        <v>SF</v>
      </c>
      <c r="G201" s="105" t="str">
        <f>$B$25</f>
        <v>Skim Coat Gypsum Plaster Ceiling</v>
      </c>
      <c r="H201" s="106">
        <v>789.69</v>
      </c>
      <c r="I201" s="107" t="str">
        <f>$D$25</f>
        <v>SF</v>
      </c>
      <c r="J201" s="107">
        <f t="shared" si="26"/>
        <v>1580</v>
      </c>
      <c r="L201" s="105" t="str">
        <f>$B$25</f>
        <v>Skim Coat Gypsum Plaster Ceiling</v>
      </c>
      <c r="M201" s="106">
        <v>789.69</v>
      </c>
      <c r="N201" s="107" t="str">
        <f>$D$25</f>
        <v>SF</v>
      </c>
      <c r="O201" s="107">
        <f t="shared" si="27"/>
        <v>1580</v>
      </c>
      <c r="Q201" s="105" t="str">
        <f>$B$25</f>
        <v>Skim Coat Gypsum Plaster Ceiling</v>
      </c>
      <c r="R201" s="106">
        <v>789.69</v>
      </c>
      <c r="S201" s="107" t="str">
        <f>$D$25</f>
        <v>SF</v>
      </c>
      <c r="T201" s="107">
        <f t="shared" si="28"/>
        <v>1580</v>
      </c>
      <c r="V201" s="105" t="str">
        <f>$B$25</f>
        <v>Skim Coat Gypsum Plaster Ceiling</v>
      </c>
      <c r="W201" s="106">
        <v>789.69</v>
      </c>
      <c r="X201" s="107" t="str">
        <f>$D$25</f>
        <v>SF</v>
      </c>
      <c r="Y201" s="107">
        <f t="shared" si="29"/>
        <v>1580</v>
      </c>
      <c r="AA201" s="105" t="str">
        <f>$B$25</f>
        <v>Skim Coat Gypsum Plaster Ceiling</v>
      </c>
      <c r="AB201" s="106">
        <v>789.69</v>
      </c>
      <c r="AC201" s="107" t="str">
        <f>$D$25</f>
        <v>SF</v>
      </c>
      <c r="AD201" s="107">
        <f t="shared" si="30"/>
        <v>790</v>
      </c>
      <c r="CI201" s="76"/>
      <c r="CJ201" s="76"/>
      <c r="CK201" s="76"/>
      <c r="CL201" s="76"/>
      <c r="CM201" s="76"/>
      <c r="CN201" s="76"/>
      <c r="CO201" s="76"/>
      <c r="CP201" s="76"/>
      <c r="CQ201" s="76"/>
      <c r="CR201" s="76"/>
      <c r="CS201" s="76"/>
    </row>
    <row r="202" spans="1:97" s="72" customFormat="1">
      <c r="B202" s="105" t="str">
        <f>$B$29</f>
        <v>Floor Finish @ Bathroom</v>
      </c>
      <c r="C202" s="106">
        <f t="shared" si="25"/>
        <v>1247</v>
      </c>
      <c r="D202" s="107" t="str">
        <f>$D$29</f>
        <v>SF</v>
      </c>
      <c r="G202" s="105" t="str">
        <f>$B$29</f>
        <v>Floor Finish @ Bathroom</v>
      </c>
      <c r="H202" s="106">
        <v>138.01</v>
      </c>
      <c r="I202" s="107" t="str">
        <f>$D$29</f>
        <v>SF</v>
      </c>
      <c r="J202" s="107">
        <f t="shared" si="26"/>
        <v>277</v>
      </c>
      <c r="L202" s="105" t="str">
        <f>$B$29</f>
        <v>Floor Finish @ Bathroom</v>
      </c>
      <c r="M202" s="106">
        <v>138.01</v>
      </c>
      <c r="N202" s="107" t="str">
        <f>$D$29</f>
        <v>SF</v>
      </c>
      <c r="O202" s="107">
        <f t="shared" si="27"/>
        <v>277</v>
      </c>
      <c r="Q202" s="105" t="str">
        <f>$B$29</f>
        <v>Floor Finish @ Bathroom</v>
      </c>
      <c r="R202" s="106">
        <v>138.01</v>
      </c>
      <c r="S202" s="107" t="str">
        <f>$D$29</f>
        <v>SF</v>
      </c>
      <c r="T202" s="107">
        <f t="shared" si="28"/>
        <v>277</v>
      </c>
      <c r="V202" s="105" t="str">
        <f>$B$29</f>
        <v>Floor Finish @ Bathroom</v>
      </c>
      <c r="W202" s="106">
        <v>138.01</v>
      </c>
      <c r="X202" s="107" t="str">
        <f>$D$29</f>
        <v>SF</v>
      </c>
      <c r="Y202" s="107">
        <f t="shared" si="29"/>
        <v>277</v>
      </c>
      <c r="AA202" s="105" t="str">
        <f>$B$29</f>
        <v>Floor Finish @ Bathroom</v>
      </c>
      <c r="AB202" s="106">
        <v>138.01</v>
      </c>
      <c r="AC202" s="107" t="str">
        <f>$D$29</f>
        <v>SF</v>
      </c>
      <c r="AD202" s="107">
        <f t="shared" si="30"/>
        <v>139</v>
      </c>
      <c r="CI202" s="76"/>
      <c r="CJ202" s="76"/>
      <c r="CK202" s="76"/>
      <c r="CL202" s="76"/>
      <c r="CM202" s="76"/>
      <c r="CN202" s="76"/>
      <c r="CO202" s="76"/>
      <c r="CP202" s="76"/>
      <c r="CQ202" s="76"/>
      <c r="CR202" s="76"/>
      <c r="CS202" s="76"/>
    </row>
    <row r="203" spans="1:97" s="72" customFormat="1">
      <c r="B203" s="105" t="str">
        <f>$B$31</f>
        <v>Floor Finish @ Bedroom</v>
      </c>
      <c r="C203" s="106">
        <f t="shared" si="25"/>
        <v>2295</v>
      </c>
      <c r="D203" s="107" t="str">
        <f>$D$31</f>
        <v>SF</v>
      </c>
      <c r="G203" s="105" t="str">
        <f>$B$31</f>
        <v>Floor Finish @ Bedroom</v>
      </c>
      <c r="H203" s="106">
        <v>254.71</v>
      </c>
      <c r="I203" s="107" t="str">
        <f>$D$31</f>
        <v>SF</v>
      </c>
      <c r="J203" s="107">
        <f t="shared" si="26"/>
        <v>510</v>
      </c>
      <c r="L203" s="105" t="str">
        <f>$B$31</f>
        <v>Floor Finish @ Bedroom</v>
      </c>
      <c r="M203" s="106">
        <v>254.71</v>
      </c>
      <c r="N203" s="107" t="str">
        <f>$D$31</f>
        <v>SF</v>
      </c>
      <c r="O203" s="107">
        <f t="shared" si="27"/>
        <v>510</v>
      </c>
      <c r="Q203" s="105" t="str">
        <f>$B$31</f>
        <v>Floor Finish @ Bedroom</v>
      </c>
      <c r="R203" s="106">
        <v>254.71</v>
      </c>
      <c r="S203" s="107" t="str">
        <f>$D$31</f>
        <v>SF</v>
      </c>
      <c r="T203" s="107">
        <f t="shared" si="28"/>
        <v>510</v>
      </c>
      <c r="V203" s="105" t="str">
        <f>$B$31</f>
        <v>Floor Finish @ Bedroom</v>
      </c>
      <c r="W203" s="106">
        <v>254.71</v>
      </c>
      <c r="X203" s="107" t="str">
        <f>$D$31</f>
        <v>SF</v>
      </c>
      <c r="Y203" s="107">
        <f t="shared" si="29"/>
        <v>510</v>
      </c>
      <c r="AA203" s="105" t="str">
        <f>$B$31</f>
        <v>Floor Finish @ Bedroom</v>
      </c>
      <c r="AB203" s="106">
        <v>254.71</v>
      </c>
      <c r="AC203" s="107" t="str">
        <f>$D$31</f>
        <v>SF</v>
      </c>
      <c r="AD203" s="107">
        <f t="shared" si="30"/>
        <v>255</v>
      </c>
      <c r="CI203" s="76"/>
      <c r="CJ203" s="76"/>
      <c r="CK203" s="76"/>
      <c r="CL203" s="76"/>
      <c r="CM203" s="76"/>
      <c r="CN203" s="76"/>
      <c r="CO203" s="76"/>
      <c r="CP203" s="76"/>
      <c r="CQ203" s="76"/>
      <c r="CR203" s="76"/>
      <c r="CS203" s="76"/>
    </row>
    <row r="204" spans="1:97" s="72" customFormat="1">
      <c r="B204" s="105" t="str">
        <f>$B$33</f>
        <v>Floor Finish @ Closet</v>
      </c>
      <c r="C204" s="106">
        <f t="shared" si="25"/>
        <v>0</v>
      </c>
      <c r="D204" s="107" t="str">
        <f>$D$33</f>
        <v>SF</v>
      </c>
      <c r="G204" s="105" t="str">
        <f>$B$33</f>
        <v>Floor Finish @ Closet</v>
      </c>
      <c r="H204" s="106">
        <v>0</v>
      </c>
      <c r="I204" s="107" t="str">
        <f>$D$33</f>
        <v>SF</v>
      </c>
      <c r="J204" s="107">
        <f t="shared" si="26"/>
        <v>0</v>
      </c>
      <c r="L204" s="105" t="str">
        <f>$B$33</f>
        <v>Floor Finish @ Closet</v>
      </c>
      <c r="M204" s="106">
        <v>0</v>
      </c>
      <c r="N204" s="107" t="str">
        <f>$D$33</f>
        <v>SF</v>
      </c>
      <c r="O204" s="107">
        <f t="shared" si="27"/>
        <v>0</v>
      </c>
      <c r="Q204" s="105" t="str">
        <f>$B$33</f>
        <v>Floor Finish @ Closet</v>
      </c>
      <c r="R204" s="106">
        <v>0</v>
      </c>
      <c r="S204" s="107" t="str">
        <f>$D$33</f>
        <v>SF</v>
      </c>
      <c r="T204" s="107">
        <f t="shared" si="28"/>
        <v>0</v>
      </c>
      <c r="V204" s="105" t="str">
        <f>$B$33</f>
        <v>Floor Finish @ Closet</v>
      </c>
      <c r="W204" s="106">
        <v>0</v>
      </c>
      <c r="X204" s="107" t="str">
        <f>$D$33</f>
        <v>SF</v>
      </c>
      <c r="Y204" s="107">
        <f t="shared" si="29"/>
        <v>0</v>
      </c>
      <c r="AA204" s="105" t="str">
        <f>$B$33</f>
        <v>Floor Finish @ Closet</v>
      </c>
      <c r="AB204" s="106">
        <v>0</v>
      </c>
      <c r="AC204" s="107" t="str">
        <f>$D$33</f>
        <v>SF</v>
      </c>
      <c r="AD204" s="107">
        <f t="shared" si="30"/>
        <v>0</v>
      </c>
      <c r="CI204" s="76"/>
      <c r="CJ204" s="76"/>
      <c r="CK204" s="76"/>
      <c r="CL204" s="76"/>
      <c r="CM204" s="76"/>
      <c r="CN204" s="76"/>
      <c r="CO204" s="76"/>
      <c r="CP204" s="76"/>
      <c r="CQ204" s="76"/>
      <c r="CR204" s="76"/>
      <c r="CS204" s="76"/>
    </row>
    <row r="205" spans="1:97" s="72" customFormat="1">
      <c r="B205" s="105" t="str">
        <f>$B$35</f>
        <v>Floor Finish @ Hall</v>
      </c>
      <c r="C205" s="106">
        <f t="shared" si="25"/>
        <v>3600</v>
      </c>
      <c r="D205" s="107" t="str">
        <f>$D$35</f>
        <v>SF</v>
      </c>
      <c r="G205" s="105" t="str">
        <f>$B$35</f>
        <v>Floor Finish @ Hall</v>
      </c>
      <c r="H205" s="106">
        <v>399.64</v>
      </c>
      <c r="I205" s="107" t="str">
        <f>$D$35</f>
        <v>SF</v>
      </c>
      <c r="J205" s="107">
        <f t="shared" si="26"/>
        <v>800</v>
      </c>
      <c r="L205" s="105" t="str">
        <f>$B$35</f>
        <v>Floor Finish @ Hall</v>
      </c>
      <c r="M205" s="106">
        <v>399.64</v>
      </c>
      <c r="N205" s="107" t="str">
        <f>$D$35</f>
        <v>SF</v>
      </c>
      <c r="O205" s="107">
        <f t="shared" si="27"/>
        <v>800</v>
      </c>
      <c r="Q205" s="105" t="str">
        <f>$B$35</f>
        <v>Floor Finish @ Hall</v>
      </c>
      <c r="R205" s="106">
        <v>399.64</v>
      </c>
      <c r="S205" s="107" t="str">
        <f>$D$35</f>
        <v>SF</v>
      </c>
      <c r="T205" s="107">
        <f t="shared" si="28"/>
        <v>800</v>
      </c>
      <c r="V205" s="105" t="str">
        <f>$B$35</f>
        <v>Floor Finish @ Hall</v>
      </c>
      <c r="W205" s="106">
        <v>399.64</v>
      </c>
      <c r="X205" s="107" t="str">
        <f>$D$35</f>
        <v>SF</v>
      </c>
      <c r="Y205" s="107">
        <f t="shared" si="29"/>
        <v>800</v>
      </c>
      <c r="AA205" s="105" t="str">
        <f>$B$35</f>
        <v>Floor Finish @ Hall</v>
      </c>
      <c r="AB205" s="106">
        <v>399.64</v>
      </c>
      <c r="AC205" s="107" t="str">
        <f>$D$35</f>
        <v>SF</v>
      </c>
      <c r="AD205" s="107">
        <f t="shared" si="30"/>
        <v>400</v>
      </c>
      <c r="CI205" s="76"/>
      <c r="CJ205" s="76"/>
      <c r="CK205" s="76"/>
      <c r="CL205" s="76"/>
      <c r="CM205" s="76"/>
      <c r="CN205" s="76"/>
      <c r="CO205" s="76"/>
      <c r="CP205" s="76"/>
      <c r="CQ205" s="76"/>
      <c r="CR205" s="76"/>
      <c r="CS205" s="76"/>
    </row>
    <row r="206" spans="1:97" s="72" customFormat="1">
      <c r="B206" s="105" t="str">
        <f>$B$37</f>
        <v>Floor Finish @ Shower</v>
      </c>
      <c r="C206" s="106">
        <f t="shared" si="25"/>
        <v>0</v>
      </c>
      <c r="D206" s="107" t="str">
        <f>$D$37</f>
        <v>SF</v>
      </c>
      <c r="G206" s="105" t="str">
        <f>$B$37</f>
        <v>Floor Finish @ Shower</v>
      </c>
      <c r="H206" s="106">
        <v>0</v>
      </c>
      <c r="I206" s="107" t="str">
        <f>$D$37</f>
        <v>SF</v>
      </c>
      <c r="J206" s="107">
        <f t="shared" si="26"/>
        <v>0</v>
      </c>
      <c r="L206" s="105" t="str">
        <f>$B$37</f>
        <v>Floor Finish @ Shower</v>
      </c>
      <c r="M206" s="106">
        <v>0</v>
      </c>
      <c r="N206" s="107" t="str">
        <f>$D$37</f>
        <v>SF</v>
      </c>
      <c r="O206" s="107">
        <f t="shared" si="27"/>
        <v>0</v>
      </c>
      <c r="Q206" s="105" t="str">
        <f>$B$37</f>
        <v>Floor Finish @ Shower</v>
      </c>
      <c r="R206" s="106">
        <v>0</v>
      </c>
      <c r="S206" s="107" t="str">
        <f>$D$37</f>
        <v>SF</v>
      </c>
      <c r="T206" s="107">
        <f t="shared" si="28"/>
        <v>0</v>
      </c>
      <c r="V206" s="105" t="str">
        <f>$B$37</f>
        <v>Floor Finish @ Shower</v>
      </c>
      <c r="W206" s="106">
        <v>0</v>
      </c>
      <c r="X206" s="107" t="str">
        <f>$D$37</f>
        <v>SF</v>
      </c>
      <c r="Y206" s="107">
        <f t="shared" si="29"/>
        <v>0</v>
      </c>
      <c r="AA206" s="105" t="str">
        <f>$B$37</f>
        <v>Floor Finish @ Shower</v>
      </c>
      <c r="AB206" s="106">
        <v>0</v>
      </c>
      <c r="AC206" s="107" t="str">
        <f>$D$37</f>
        <v>SF</v>
      </c>
      <c r="AD206" s="107">
        <f t="shared" si="30"/>
        <v>0</v>
      </c>
      <c r="CI206" s="76"/>
      <c r="CJ206" s="76"/>
      <c r="CK206" s="76"/>
      <c r="CL206" s="76"/>
      <c r="CM206" s="76"/>
      <c r="CN206" s="76"/>
      <c r="CO206" s="76"/>
      <c r="CP206" s="76"/>
      <c r="CQ206" s="76"/>
      <c r="CR206" s="76"/>
      <c r="CS206" s="76"/>
    </row>
    <row r="207" spans="1:97" s="72" customFormat="1">
      <c r="B207" s="105" t="str">
        <f>$B$41</f>
        <v>Wall Base</v>
      </c>
      <c r="C207" s="106">
        <f t="shared" si="25"/>
        <v>1724</v>
      </c>
      <c r="D207" s="107" t="str">
        <f>$D$41</f>
        <v>LF</v>
      </c>
      <c r="G207" s="105" t="str">
        <f>$B$41</f>
        <v>Wall Base</v>
      </c>
      <c r="H207" s="106">
        <v>191.48</v>
      </c>
      <c r="I207" s="107" t="str">
        <f>$D$41</f>
        <v>LF</v>
      </c>
      <c r="J207" s="107">
        <f t="shared" si="26"/>
        <v>383</v>
      </c>
      <c r="L207" s="105" t="str">
        <f>$B$41</f>
        <v>Wall Base</v>
      </c>
      <c r="M207" s="106">
        <v>191.48</v>
      </c>
      <c r="N207" s="107" t="str">
        <f>$D$41</f>
        <v>LF</v>
      </c>
      <c r="O207" s="107">
        <f t="shared" si="27"/>
        <v>383</v>
      </c>
      <c r="Q207" s="105" t="str">
        <f>$B$41</f>
        <v>Wall Base</v>
      </c>
      <c r="R207" s="106">
        <v>191.48</v>
      </c>
      <c r="S207" s="107" t="str">
        <f>$D$41</f>
        <v>LF</v>
      </c>
      <c r="T207" s="107">
        <f t="shared" si="28"/>
        <v>383</v>
      </c>
      <c r="V207" s="105" t="str">
        <f>$B$41</f>
        <v>Wall Base</v>
      </c>
      <c r="W207" s="106">
        <v>191.48</v>
      </c>
      <c r="X207" s="107" t="str">
        <f>$D$41</f>
        <v>LF</v>
      </c>
      <c r="Y207" s="107">
        <f t="shared" si="29"/>
        <v>383</v>
      </c>
      <c r="AA207" s="105" t="str">
        <f>$B$41</f>
        <v>Wall Base</v>
      </c>
      <c r="AB207" s="106">
        <v>191.48</v>
      </c>
      <c r="AC207" s="107" t="str">
        <f>$D$41</f>
        <v>LF</v>
      </c>
      <c r="AD207" s="107">
        <f t="shared" si="30"/>
        <v>192</v>
      </c>
      <c r="CI207" s="76"/>
      <c r="CJ207" s="76"/>
      <c r="CK207" s="76"/>
      <c r="CL207" s="76"/>
      <c r="CM207" s="76"/>
      <c r="CN207" s="76"/>
      <c r="CO207" s="76"/>
      <c r="CP207" s="76"/>
      <c r="CQ207" s="76"/>
      <c r="CR207" s="76"/>
      <c r="CS207" s="76"/>
    </row>
    <row r="208" spans="1:97" s="72" customFormat="1">
      <c r="B208" s="105" t="str">
        <f>$B$45</f>
        <v>Wall Tile @ Bathroom @ Ht. 9'0" (Assumed)</v>
      </c>
      <c r="C208" s="106">
        <f t="shared" si="25"/>
        <v>0</v>
      </c>
      <c r="D208" s="107" t="str">
        <f>$D$45</f>
        <v>LF</v>
      </c>
      <c r="G208" s="105" t="str">
        <f>$B$45</f>
        <v>Wall Tile @ Bathroom @ Ht. 9'0" (Assumed)</v>
      </c>
      <c r="H208" s="106">
        <v>0</v>
      </c>
      <c r="I208" s="107" t="str">
        <f>$D$45</f>
        <v>LF</v>
      </c>
      <c r="J208" s="107">
        <f t="shared" si="26"/>
        <v>0</v>
      </c>
      <c r="L208" s="105" t="str">
        <f>$B$45</f>
        <v>Wall Tile @ Bathroom @ Ht. 9'0" (Assumed)</v>
      </c>
      <c r="M208" s="106">
        <v>0</v>
      </c>
      <c r="N208" s="107" t="str">
        <f>$D$45</f>
        <v>LF</v>
      </c>
      <c r="O208" s="107">
        <f t="shared" si="27"/>
        <v>0</v>
      </c>
      <c r="Q208" s="105" t="str">
        <f>$B$45</f>
        <v>Wall Tile @ Bathroom @ Ht. 9'0" (Assumed)</v>
      </c>
      <c r="R208" s="106">
        <v>0</v>
      </c>
      <c r="S208" s="107" t="str">
        <f>$D$45</f>
        <v>LF</v>
      </c>
      <c r="T208" s="107">
        <f t="shared" si="28"/>
        <v>0</v>
      </c>
      <c r="V208" s="105" t="str">
        <f>$B$45</f>
        <v>Wall Tile @ Bathroom @ Ht. 9'0" (Assumed)</v>
      </c>
      <c r="W208" s="106">
        <v>0</v>
      </c>
      <c r="X208" s="107" t="str">
        <f>$D$45</f>
        <v>LF</v>
      </c>
      <c r="Y208" s="107">
        <f t="shared" si="29"/>
        <v>0</v>
      </c>
      <c r="AA208" s="105" t="str">
        <f>$B$45</f>
        <v>Wall Tile @ Bathroom @ Ht. 9'0" (Assumed)</v>
      </c>
      <c r="AB208" s="106">
        <v>0</v>
      </c>
      <c r="AC208" s="107" t="str">
        <f>$D$45</f>
        <v>LF</v>
      </c>
      <c r="AD208" s="107">
        <f t="shared" si="30"/>
        <v>0</v>
      </c>
      <c r="CI208" s="76"/>
      <c r="CJ208" s="76"/>
      <c r="CK208" s="76"/>
      <c r="CL208" s="76"/>
      <c r="CM208" s="76"/>
      <c r="CN208" s="76"/>
      <c r="CO208" s="76"/>
      <c r="CP208" s="76"/>
      <c r="CQ208" s="76"/>
      <c r="CR208" s="76"/>
      <c r="CS208" s="76"/>
    </row>
    <row r="209" spans="1:97" s="72" customFormat="1">
      <c r="B209" s="105" t="str">
        <f>$B$50</f>
        <v>Shower Enclosure Door W/ Partition</v>
      </c>
      <c r="C209" s="106">
        <f t="shared" si="25"/>
        <v>9</v>
      </c>
      <c r="D209" s="107" t="str">
        <f>$D$50</f>
        <v>EA</v>
      </c>
      <c r="G209" s="105" t="str">
        <f>$B$50</f>
        <v>Shower Enclosure Door W/ Partition</v>
      </c>
      <c r="H209" s="106">
        <v>1</v>
      </c>
      <c r="I209" s="107" t="str">
        <f>$D$50</f>
        <v>EA</v>
      </c>
      <c r="J209" s="107">
        <f t="shared" si="26"/>
        <v>2</v>
      </c>
      <c r="L209" s="105" t="str">
        <f>$B$50</f>
        <v>Shower Enclosure Door W/ Partition</v>
      </c>
      <c r="M209" s="106">
        <v>1</v>
      </c>
      <c r="N209" s="107" t="str">
        <f>$D$50</f>
        <v>EA</v>
      </c>
      <c r="O209" s="107">
        <f t="shared" si="27"/>
        <v>2</v>
      </c>
      <c r="Q209" s="105" t="str">
        <f>$B$50</f>
        <v>Shower Enclosure Door W/ Partition</v>
      </c>
      <c r="R209" s="106">
        <v>1</v>
      </c>
      <c r="S209" s="107" t="str">
        <f>$D$50</f>
        <v>EA</v>
      </c>
      <c r="T209" s="107">
        <f t="shared" si="28"/>
        <v>2</v>
      </c>
      <c r="V209" s="105" t="str">
        <f>$B$50</f>
        <v>Shower Enclosure Door W/ Partition</v>
      </c>
      <c r="W209" s="106">
        <v>1</v>
      </c>
      <c r="X209" s="107" t="str">
        <f>$D$50</f>
        <v>EA</v>
      </c>
      <c r="Y209" s="107">
        <f t="shared" si="29"/>
        <v>2</v>
      </c>
      <c r="AA209" s="105" t="str">
        <f>$B$50</f>
        <v>Shower Enclosure Door W/ Partition</v>
      </c>
      <c r="AB209" s="106">
        <v>1</v>
      </c>
      <c r="AC209" s="107" t="str">
        <f>$D$50</f>
        <v>EA</v>
      </c>
      <c r="AD209" s="107">
        <f t="shared" si="30"/>
        <v>1</v>
      </c>
      <c r="CI209" s="76"/>
      <c r="CJ209" s="76"/>
      <c r="CK209" s="76"/>
      <c r="CL209" s="76"/>
      <c r="CM209" s="76"/>
      <c r="CN209" s="76"/>
      <c r="CO209" s="76"/>
      <c r="CP209" s="76"/>
      <c r="CQ209" s="76"/>
      <c r="CR209" s="76"/>
      <c r="CS209" s="76"/>
    </row>
    <row r="210" spans="1:97" s="72" customFormat="1">
      <c r="B210" s="105" t="str">
        <f>$B$52</f>
        <v>Lavatory</v>
      </c>
      <c r="C210" s="106">
        <f t="shared" si="25"/>
        <v>9</v>
      </c>
      <c r="D210" s="107" t="str">
        <f>$D$52</f>
        <v>EA</v>
      </c>
      <c r="G210" s="105" t="str">
        <f>$B$52</f>
        <v>Lavatory</v>
      </c>
      <c r="H210" s="106">
        <v>1</v>
      </c>
      <c r="I210" s="107" t="str">
        <f>$D$52</f>
        <v>EA</v>
      </c>
      <c r="J210" s="107">
        <f t="shared" si="26"/>
        <v>2</v>
      </c>
      <c r="L210" s="105" t="str">
        <f>$B$52</f>
        <v>Lavatory</v>
      </c>
      <c r="M210" s="106">
        <v>1</v>
      </c>
      <c r="N210" s="107" t="str">
        <f>$D$52</f>
        <v>EA</v>
      </c>
      <c r="O210" s="107">
        <f t="shared" si="27"/>
        <v>2</v>
      </c>
      <c r="Q210" s="105" t="str">
        <f>$B$52</f>
        <v>Lavatory</v>
      </c>
      <c r="R210" s="106">
        <v>1</v>
      </c>
      <c r="S210" s="107" t="str">
        <f>$D$52</f>
        <v>EA</v>
      </c>
      <c r="T210" s="107">
        <f t="shared" si="28"/>
        <v>2</v>
      </c>
      <c r="V210" s="105" t="str">
        <f>$B$52</f>
        <v>Lavatory</v>
      </c>
      <c r="W210" s="106">
        <v>1</v>
      </c>
      <c r="X210" s="107" t="str">
        <f>$D$52</f>
        <v>EA</v>
      </c>
      <c r="Y210" s="107">
        <f t="shared" si="29"/>
        <v>2</v>
      </c>
      <c r="AA210" s="105" t="str">
        <f>$B$52</f>
        <v>Lavatory</v>
      </c>
      <c r="AB210" s="106">
        <v>1</v>
      </c>
      <c r="AC210" s="107" t="str">
        <f>$D$52</f>
        <v>EA</v>
      </c>
      <c r="AD210" s="107">
        <f t="shared" si="30"/>
        <v>1</v>
      </c>
      <c r="CI210" s="76"/>
      <c r="CJ210" s="76"/>
      <c r="CK210" s="76"/>
      <c r="CL210" s="76"/>
      <c r="CM210" s="76"/>
      <c r="CN210" s="76"/>
      <c r="CO210" s="76"/>
      <c r="CP210" s="76"/>
      <c r="CQ210" s="76"/>
      <c r="CR210" s="76"/>
      <c r="CS210" s="76"/>
    </row>
    <row r="211" spans="1:97" s="72" customFormat="1">
      <c r="B211" s="105" t="str">
        <f>$B$54</f>
        <v>Shower</v>
      </c>
      <c r="C211" s="106">
        <f t="shared" si="25"/>
        <v>9</v>
      </c>
      <c r="D211" s="107" t="str">
        <f>$D$54</f>
        <v>EA</v>
      </c>
      <c r="G211" s="105" t="str">
        <f>$B$54</f>
        <v>Shower</v>
      </c>
      <c r="H211" s="106">
        <v>1</v>
      </c>
      <c r="I211" s="107" t="str">
        <f>$D$54</f>
        <v>EA</v>
      </c>
      <c r="J211" s="107">
        <f t="shared" si="26"/>
        <v>2</v>
      </c>
      <c r="L211" s="105" t="str">
        <f>$B$54</f>
        <v>Shower</v>
      </c>
      <c r="M211" s="106">
        <v>1</v>
      </c>
      <c r="N211" s="107" t="str">
        <f>$D$54</f>
        <v>EA</v>
      </c>
      <c r="O211" s="107">
        <f t="shared" si="27"/>
        <v>2</v>
      </c>
      <c r="Q211" s="105" t="str">
        <f>$B$54</f>
        <v>Shower</v>
      </c>
      <c r="R211" s="106">
        <v>1</v>
      </c>
      <c r="S211" s="107" t="str">
        <f>$D$54</f>
        <v>EA</v>
      </c>
      <c r="T211" s="107">
        <f t="shared" si="28"/>
        <v>2</v>
      </c>
      <c r="V211" s="105" t="str">
        <f>$B$54</f>
        <v>Shower</v>
      </c>
      <c r="W211" s="106">
        <v>1</v>
      </c>
      <c r="X211" s="107" t="str">
        <f>$D$54</f>
        <v>EA</v>
      </c>
      <c r="Y211" s="107">
        <f t="shared" si="29"/>
        <v>2</v>
      </c>
      <c r="AA211" s="105" t="str">
        <f>$B$54</f>
        <v>Shower</v>
      </c>
      <c r="AB211" s="106">
        <v>1</v>
      </c>
      <c r="AC211" s="107" t="str">
        <f>$D$54</f>
        <v>EA</v>
      </c>
      <c r="AD211" s="107">
        <f t="shared" si="30"/>
        <v>1</v>
      </c>
      <c r="CI211" s="76"/>
      <c r="CJ211" s="76"/>
      <c r="CK211" s="76"/>
      <c r="CL211" s="76"/>
      <c r="CM211" s="76"/>
      <c r="CN211" s="76"/>
      <c r="CO211" s="76"/>
      <c r="CP211" s="76"/>
      <c r="CQ211" s="76"/>
      <c r="CR211" s="76"/>
      <c r="CS211" s="76"/>
    </row>
    <row r="212" spans="1:97" s="72" customFormat="1">
      <c r="B212" s="105" t="str">
        <f>$B$56</f>
        <v>Water Closet</v>
      </c>
      <c r="C212" s="106">
        <f t="shared" si="25"/>
        <v>9</v>
      </c>
      <c r="D212" s="107" t="str">
        <f>$D$56</f>
        <v>EA</v>
      </c>
      <c r="G212" s="105" t="str">
        <f>$B$56</f>
        <v>Water Closet</v>
      </c>
      <c r="H212" s="106">
        <v>1</v>
      </c>
      <c r="I212" s="107" t="str">
        <f>$D$56</f>
        <v>EA</v>
      </c>
      <c r="J212" s="107">
        <f t="shared" si="26"/>
        <v>2</v>
      </c>
      <c r="L212" s="105" t="str">
        <f>$B$56</f>
        <v>Water Closet</v>
      </c>
      <c r="M212" s="106">
        <v>1</v>
      </c>
      <c r="N212" s="107" t="str">
        <f>$D$56</f>
        <v>EA</v>
      </c>
      <c r="O212" s="107">
        <f t="shared" si="27"/>
        <v>2</v>
      </c>
      <c r="Q212" s="105" t="str">
        <f>$B$56</f>
        <v>Water Closet</v>
      </c>
      <c r="R212" s="106">
        <v>1</v>
      </c>
      <c r="S212" s="107" t="str">
        <f>$D$56</f>
        <v>EA</v>
      </c>
      <c r="T212" s="107">
        <f t="shared" si="28"/>
        <v>2</v>
      </c>
      <c r="V212" s="105" t="str">
        <f>$B$56</f>
        <v>Water Closet</v>
      </c>
      <c r="W212" s="106">
        <v>1</v>
      </c>
      <c r="X212" s="107" t="str">
        <f>$D$56</f>
        <v>EA</v>
      </c>
      <c r="Y212" s="107">
        <f t="shared" si="29"/>
        <v>2</v>
      </c>
      <c r="AA212" s="105" t="str">
        <f>$B$56</f>
        <v>Water Closet</v>
      </c>
      <c r="AB212" s="106">
        <v>1</v>
      </c>
      <c r="AC212" s="107" t="str">
        <f>$D$56</f>
        <v>EA</v>
      </c>
      <c r="AD212" s="107">
        <f t="shared" si="30"/>
        <v>1</v>
      </c>
      <c r="CI212" s="76"/>
      <c r="CJ212" s="76"/>
      <c r="CK212" s="76"/>
      <c r="CL212" s="76"/>
      <c r="CM212" s="76"/>
      <c r="CN212" s="76"/>
      <c r="CO212" s="76"/>
      <c r="CP212" s="76"/>
      <c r="CQ212" s="76"/>
      <c r="CR212" s="76"/>
      <c r="CS212" s="76"/>
    </row>
    <row r="213" spans="1:97" s="72" customFormat="1">
      <c r="B213" s="105" t="str">
        <f>$B$61</f>
        <v>Chilled Water Concealed Ducted Unit w/ Electric Heat</v>
      </c>
      <c r="C213" s="106">
        <f t="shared" si="25"/>
        <v>9</v>
      </c>
      <c r="D213" s="107" t="str">
        <f>$D$61</f>
        <v>EA</v>
      </c>
      <c r="G213" s="105" t="str">
        <f>$B$61</f>
        <v>Chilled Water Concealed Ducted Unit w/ Electric Heat</v>
      </c>
      <c r="H213" s="106">
        <v>1</v>
      </c>
      <c r="I213" s="107" t="str">
        <f>$D$61</f>
        <v>EA</v>
      </c>
      <c r="J213" s="107">
        <f t="shared" si="26"/>
        <v>2</v>
      </c>
      <c r="L213" s="105" t="str">
        <f>$B$61</f>
        <v>Chilled Water Concealed Ducted Unit w/ Electric Heat</v>
      </c>
      <c r="M213" s="106">
        <v>1</v>
      </c>
      <c r="N213" s="107" t="str">
        <f>$D$61</f>
        <v>EA</v>
      </c>
      <c r="O213" s="107">
        <f t="shared" si="27"/>
        <v>2</v>
      </c>
      <c r="Q213" s="105" t="str">
        <f>$B$61</f>
        <v>Chilled Water Concealed Ducted Unit w/ Electric Heat</v>
      </c>
      <c r="R213" s="106">
        <v>1</v>
      </c>
      <c r="S213" s="107" t="str">
        <f>$D$61</f>
        <v>EA</v>
      </c>
      <c r="T213" s="107">
        <f t="shared" si="28"/>
        <v>2</v>
      </c>
      <c r="V213" s="105" t="str">
        <f>$B$61</f>
        <v>Chilled Water Concealed Ducted Unit w/ Electric Heat</v>
      </c>
      <c r="W213" s="106">
        <v>1</v>
      </c>
      <c r="X213" s="107" t="str">
        <f>$D$61</f>
        <v>EA</v>
      </c>
      <c r="Y213" s="107">
        <f t="shared" si="29"/>
        <v>2</v>
      </c>
      <c r="AA213" s="105" t="str">
        <f>$B$61</f>
        <v>Chilled Water Concealed Ducted Unit w/ Electric Heat</v>
      </c>
      <c r="AB213" s="106">
        <v>1</v>
      </c>
      <c r="AC213" s="107" t="str">
        <f>$D$61</f>
        <v>EA</v>
      </c>
      <c r="AD213" s="107">
        <f t="shared" si="30"/>
        <v>1</v>
      </c>
      <c r="CI213" s="76"/>
      <c r="CJ213" s="76"/>
      <c r="CK213" s="76"/>
      <c r="CL213" s="76"/>
      <c r="CM213" s="76"/>
      <c r="CN213" s="76"/>
      <c r="CO213" s="76"/>
      <c r="CP213" s="76"/>
      <c r="CQ213" s="76"/>
      <c r="CR213" s="76"/>
      <c r="CS213" s="76"/>
    </row>
    <row r="214" spans="1:97" s="72" customFormat="1">
      <c r="B214" s="108" t="str">
        <f>$B$66</f>
        <v>Panel Board</v>
      </c>
      <c r="C214" s="109">
        <f t="shared" si="25"/>
        <v>9</v>
      </c>
      <c r="D214" s="110" t="str">
        <f>$D$66</f>
        <v>EA</v>
      </c>
      <c r="G214" s="108" t="str">
        <f>$B$66</f>
        <v>Panel Board</v>
      </c>
      <c r="H214" s="109">
        <v>1</v>
      </c>
      <c r="I214" s="110" t="str">
        <f>$D$66</f>
        <v>EA</v>
      </c>
      <c r="J214" s="110">
        <f t="shared" si="26"/>
        <v>2</v>
      </c>
      <c r="L214" s="108" t="str">
        <f>$B$66</f>
        <v>Panel Board</v>
      </c>
      <c r="M214" s="109">
        <v>1</v>
      </c>
      <c r="N214" s="110" t="str">
        <f>$D$66</f>
        <v>EA</v>
      </c>
      <c r="O214" s="110">
        <f t="shared" si="27"/>
        <v>2</v>
      </c>
      <c r="Q214" s="108" t="str">
        <f>$B$66</f>
        <v>Panel Board</v>
      </c>
      <c r="R214" s="109">
        <v>1</v>
      </c>
      <c r="S214" s="110" t="str">
        <f>$D$66</f>
        <v>EA</v>
      </c>
      <c r="T214" s="110">
        <f t="shared" si="28"/>
        <v>2</v>
      </c>
      <c r="V214" s="108" t="str">
        <f>$B$66</f>
        <v>Panel Board</v>
      </c>
      <c r="W214" s="109">
        <v>1</v>
      </c>
      <c r="X214" s="110" t="str">
        <f>$D$66</f>
        <v>EA</v>
      </c>
      <c r="Y214" s="110">
        <f t="shared" si="29"/>
        <v>2</v>
      </c>
      <c r="AA214" s="108" t="str">
        <f>$B$66</f>
        <v>Panel Board</v>
      </c>
      <c r="AB214" s="109">
        <v>1</v>
      </c>
      <c r="AC214" s="110" t="str">
        <f>$D$66</f>
        <v>EA</v>
      </c>
      <c r="AD214" s="110">
        <f t="shared" si="30"/>
        <v>1</v>
      </c>
      <c r="CI214" s="76"/>
      <c r="CJ214" s="76"/>
      <c r="CK214" s="76"/>
      <c r="CL214" s="76"/>
      <c r="CM214" s="76"/>
      <c r="CN214" s="76"/>
      <c r="CO214" s="76"/>
      <c r="CP214" s="76"/>
      <c r="CQ214" s="76"/>
      <c r="CR214" s="76"/>
      <c r="CS214" s="76"/>
    </row>
    <row r="215" spans="1:97" s="72" customFormat="1"/>
    <row r="216" spans="1:97" s="72" customFormat="1"/>
    <row r="217" spans="1:97" s="72" customFormat="1"/>
    <row r="218" spans="1:97" s="75" customFormat="1" ht="15.75">
      <c r="A218" s="74"/>
      <c r="B218" s="111" t="s">
        <v>74</v>
      </c>
      <c r="C218" s="112">
        <f>H218+M218+R218+W218+AB218</f>
        <v>1</v>
      </c>
      <c r="D218" s="113"/>
      <c r="E218" s="74"/>
      <c r="F218" s="74"/>
      <c r="G218" s="114" t="s">
        <v>65</v>
      </c>
      <c r="H218" s="115">
        <v>0</v>
      </c>
      <c r="I218" s="115" t="s">
        <v>25</v>
      </c>
      <c r="J218" s="120"/>
      <c r="K218" s="74"/>
      <c r="L218" s="114" t="s">
        <v>66</v>
      </c>
      <c r="M218" s="115">
        <v>0</v>
      </c>
      <c r="N218" s="115" t="s">
        <v>25</v>
      </c>
      <c r="O218" s="120"/>
      <c r="P218" s="74"/>
      <c r="Q218" s="114" t="s">
        <v>67</v>
      </c>
      <c r="R218" s="115">
        <v>0</v>
      </c>
      <c r="S218" s="115" t="s">
        <v>25</v>
      </c>
      <c r="T218" s="120"/>
      <c r="U218" s="74"/>
      <c r="V218" s="114" t="s">
        <v>68</v>
      </c>
      <c r="W218" s="115">
        <v>0</v>
      </c>
      <c r="X218" s="115" t="s">
        <v>25</v>
      </c>
      <c r="Y218" s="120"/>
      <c r="Z218" s="74"/>
      <c r="AA218" s="114" t="s">
        <v>69</v>
      </c>
      <c r="AB218" s="115">
        <v>1</v>
      </c>
      <c r="AC218" s="115" t="s">
        <v>25</v>
      </c>
      <c r="AD218" s="120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74"/>
      <c r="BN218" s="74"/>
      <c r="BO218" s="74"/>
      <c r="BP218" s="74"/>
      <c r="BQ218" s="74"/>
      <c r="BR218" s="74"/>
      <c r="BS218" s="74"/>
      <c r="BT218" s="74"/>
      <c r="BU218" s="74"/>
      <c r="BV218" s="74"/>
      <c r="BW218" s="74"/>
      <c r="BX218" s="74"/>
      <c r="BY218" s="74"/>
      <c r="BZ218" s="74"/>
      <c r="CA218" s="74"/>
      <c r="CB218" s="74"/>
      <c r="CC218" s="74"/>
      <c r="CD218" s="74"/>
      <c r="CE218" s="74"/>
      <c r="CF218" s="74"/>
      <c r="CG218" s="74"/>
      <c r="CH218" s="74"/>
    </row>
    <row r="219" spans="1:97" s="75" customFormat="1" ht="15.75">
      <c r="A219" s="74"/>
      <c r="B219" s="116"/>
      <c r="C219" s="117"/>
      <c r="D219" s="118"/>
      <c r="E219" s="74"/>
      <c r="F219" s="74"/>
      <c r="G219" s="116"/>
      <c r="H219" s="119"/>
      <c r="I219" s="121"/>
      <c r="J219" s="121"/>
      <c r="K219" s="74"/>
      <c r="L219" s="116"/>
      <c r="M219" s="119"/>
      <c r="N219" s="121"/>
      <c r="O219" s="121"/>
      <c r="P219" s="74"/>
      <c r="Q219" s="116"/>
      <c r="R219" s="119"/>
      <c r="S219" s="121"/>
      <c r="T219" s="121"/>
      <c r="U219" s="74"/>
      <c r="V219" s="116"/>
      <c r="W219" s="119"/>
      <c r="X219" s="121"/>
      <c r="Y219" s="121"/>
      <c r="Z219" s="74"/>
      <c r="AA219" s="116"/>
      <c r="AB219" s="119"/>
      <c r="AC219" s="121"/>
      <c r="AD219" s="121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74"/>
      <c r="BN219" s="74"/>
      <c r="BO219" s="74"/>
      <c r="BP219" s="74"/>
      <c r="BQ219" s="74"/>
      <c r="BR219" s="74"/>
      <c r="BS219" s="74"/>
      <c r="BT219" s="74"/>
      <c r="BU219" s="74"/>
      <c r="BV219" s="74"/>
      <c r="BW219" s="74"/>
      <c r="BX219" s="74"/>
      <c r="BY219" s="74"/>
      <c r="BZ219" s="74"/>
      <c r="CA219" s="74"/>
      <c r="CB219" s="74"/>
      <c r="CC219" s="74"/>
      <c r="CD219" s="74"/>
      <c r="CE219" s="74"/>
      <c r="CF219" s="74"/>
      <c r="CG219" s="74"/>
      <c r="CH219" s="74"/>
    </row>
    <row r="220" spans="1:97">
      <c r="B220" s="102" t="str">
        <f>$B$7</f>
        <v>1 Bed / 1 Bath</v>
      </c>
      <c r="C220" s="103">
        <f t="shared" ref="C220:C239" si="31">AD220+Y220+T220+O220+J220</f>
        <v>1</v>
      </c>
      <c r="D220" s="104" t="str">
        <f>$D$7</f>
        <v>EA</v>
      </c>
      <c r="G220" s="102" t="str">
        <f>$B$7</f>
        <v>1 Bed / 1 Bath</v>
      </c>
      <c r="H220" s="103">
        <v>1</v>
      </c>
      <c r="I220" s="104" t="str">
        <f>$D$7</f>
        <v>EA</v>
      </c>
      <c r="J220" s="104">
        <f t="shared" ref="J220:J239" si="32">ROUNDUP(H220*$H$218,0)</f>
        <v>0</v>
      </c>
      <c r="L220" s="102" t="str">
        <f>$B$7</f>
        <v>1 Bed / 1 Bath</v>
      </c>
      <c r="M220" s="103">
        <v>1</v>
      </c>
      <c r="N220" s="104" t="str">
        <f>$D$7</f>
        <v>EA</v>
      </c>
      <c r="O220" s="104">
        <f t="shared" ref="O220:O239" si="33">ROUNDUP(M220*$M$218,0)</f>
        <v>0</v>
      </c>
      <c r="Q220" s="102" t="str">
        <f>$B$7</f>
        <v>1 Bed / 1 Bath</v>
      </c>
      <c r="R220" s="103">
        <v>1</v>
      </c>
      <c r="S220" s="104" t="str">
        <f>$D$7</f>
        <v>EA</v>
      </c>
      <c r="T220" s="104">
        <f t="shared" ref="T220:T239" si="34">ROUNDUP(R220*$R$218,0)</f>
        <v>0</v>
      </c>
      <c r="V220" s="102" t="str">
        <f>$B$7</f>
        <v>1 Bed / 1 Bath</v>
      </c>
      <c r="W220" s="103">
        <v>1</v>
      </c>
      <c r="X220" s="104" t="str">
        <f>$D$7</f>
        <v>EA</v>
      </c>
      <c r="Y220" s="104">
        <f t="shared" ref="Y220:Y239" si="35">ROUNDUP(W220*$W$218,0)</f>
        <v>0</v>
      </c>
      <c r="AA220" s="102" t="str">
        <f>$B$7</f>
        <v>1 Bed / 1 Bath</v>
      </c>
      <c r="AB220" s="103">
        <v>1</v>
      </c>
      <c r="AC220" s="104" t="str">
        <f>$D$7</f>
        <v>EA</v>
      </c>
      <c r="AD220" s="104">
        <f t="shared" ref="AD220:AD239" si="36">ROUNDUP(AB220*$AB$218,0)</f>
        <v>1</v>
      </c>
    </row>
    <row r="221" spans="1:97">
      <c r="B221" s="105" t="str">
        <f>$B$12</f>
        <v>Double Panel Entry Door</v>
      </c>
      <c r="C221" s="106">
        <f t="shared" si="31"/>
        <v>1</v>
      </c>
      <c r="D221" s="107" t="str">
        <f>$D$12</f>
        <v>EA</v>
      </c>
      <c r="G221" s="105" t="str">
        <f>$B$12</f>
        <v>Double Panel Entry Door</v>
      </c>
      <c r="H221" s="106">
        <v>1</v>
      </c>
      <c r="I221" s="107" t="str">
        <f>$D$12</f>
        <v>EA</v>
      </c>
      <c r="J221" s="107">
        <f t="shared" si="32"/>
        <v>0</v>
      </c>
      <c r="L221" s="105" t="str">
        <f>$B$12</f>
        <v>Double Panel Entry Door</v>
      </c>
      <c r="M221" s="106">
        <v>1</v>
      </c>
      <c r="N221" s="107" t="str">
        <f>$D$12</f>
        <v>EA</v>
      </c>
      <c r="O221" s="107">
        <f t="shared" si="33"/>
        <v>0</v>
      </c>
      <c r="Q221" s="105" t="str">
        <f>$B$12</f>
        <v>Double Panel Entry Door</v>
      </c>
      <c r="R221" s="106">
        <v>1</v>
      </c>
      <c r="S221" s="107" t="str">
        <f>$D$12</f>
        <v>EA</v>
      </c>
      <c r="T221" s="107">
        <f t="shared" si="34"/>
        <v>0</v>
      </c>
      <c r="V221" s="105" t="str">
        <f>$B$12</f>
        <v>Double Panel Entry Door</v>
      </c>
      <c r="W221" s="106">
        <v>1</v>
      </c>
      <c r="X221" s="107" t="str">
        <f>$D$12</f>
        <v>EA</v>
      </c>
      <c r="Y221" s="107">
        <f t="shared" si="35"/>
        <v>0</v>
      </c>
      <c r="AA221" s="105" t="str">
        <f>$B$12</f>
        <v>Double Panel Entry Door</v>
      </c>
      <c r="AB221" s="106">
        <v>1</v>
      </c>
      <c r="AC221" s="107" t="str">
        <f>$D$12</f>
        <v>EA</v>
      </c>
      <c r="AD221" s="107">
        <f t="shared" si="36"/>
        <v>1</v>
      </c>
    </row>
    <row r="222" spans="1:97">
      <c r="B222" s="105" t="str">
        <f>$B$14</f>
        <v>Double Panel Interior Door</v>
      </c>
      <c r="C222" s="106">
        <f t="shared" si="31"/>
        <v>0</v>
      </c>
      <c r="D222" s="107" t="str">
        <f>$D$14</f>
        <v>EA</v>
      </c>
      <c r="G222" s="105" t="str">
        <f>$B$14</f>
        <v>Double Panel Interior Door</v>
      </c>
      <c r="H222" s="106">
        <v>0</v>
      </c>
      <c r="I222" s="107" t="str">
        <f>$D$14</f>
        <v>EA</v>
      </c>
      <c r="J222" s="107">
        <f t="shared" si="32"/>
        <v>0</v>
      </c>
      <c r="L222" s="105" t="str">
        <f>$B$14</f>
        <v>Double Panel Interior Door</v>
      </c>
      <c r="M222" s="106">
        <v>0</v>
      </c>
      <c r="N222" s="107" t="str">
        <f>$D$14</f>
        <v>EA</v>
      </c>
      <c r="O222" s="107">
        <f t="shared" si="33"/>
        <v>0</v>
      </c>
      <c r="Q222" s="105" t="str">
        <f>$B$14</f>
        <v>Double Panel Interior Door</v>
      </c>
      <c r="R222" s="106">
        <v>0</v>
      </c>
      <c r="S222" s="107" t="str">
        <f>$D$14</f>
        <v>EA</v>
      </c>
      <c r="T222" s="107">
        <f t="shared" si="34"/>
        <v>0</v>
      </c>
      <c r="V222" s="105" t="str">
        <f>$B$14</f>
        <v>Double Panel Interior Door</v>
      </c>
      <c r="W222" s="106">
        <v>0</v>
      </c>
      <c r="X222" s="107" t="str">
        <f>$D$14</f>
        <v>EA</v>
      </c>
      <c r="Y222" s="107">
        <f t="shared" si="35"/>
        <v>0</v>
      </c>
      <c r="AA222" s="105" t="str">
        <f>$B$14</f>
        <v>Double Panel Interior Door</v>
      </c>
      <c r="AB222" s="106">
        <v>0</v>
      </c>
      <c r="AC222" s="107" t="str">
        <f>$D$14</f>
        <v>EA</v>
      </c>
      <c r="AD222" s="107">
        <f t="shared" si="36"/>
        <v>0</v>
      </c>
    </row>
    <row r="223" spans="1:97">
      <c r="B223" s="105" t="str">
        <f>$B$16</f>
        <v>Single Panel Balcony Door</v>
      </c>
      <c r="C223" s="106">
        <f t="shared" si="31"/>
        <v>2</v>
      </c>
      <c r="D223" s="107" t="str">
        <f>$D$16</f>
        <v>EA</v>
      </c>
      <c r="G223" s="105" t="str">
        <f>$B$16</f>
        <v>Single Panel Balcony Door</v>
      </c>
      <c r="H223" s="106">
        <v>2</v>
      </c>
      <c r="I223" s="107" t="str">
        <f>$D$16</f>
        <v>EA</v>
      </c>
      <c r="J223" s="107">
        <f t="shared" si="32"/>
        <v>0</v>
      </c>
      <c r="L223" s="105" t="str">
        <f>$B$16</f>
        <v>Single Panel Balcony Door</v>
      </c>
      <c r="M223" s="106">
        <v>2</v>
      </c>
      <c r="N223" s="107" t="str">
        <f>$D$16</f>
        <v>EA</v>
      </c>
      <c r="O223" s="107">
        <f t="shared" si="33"/>
        <v>0</v>
      </c>
      <c r="Q223" s="105" t="str">
        <f>$B$16</f>
        <v>Single Panel Balcony Door</v>
      </c>
      <c r="R223" s="106">
        <v>2</v>
      </c>
      <c r="S223" s="107" t="str">
        <f>$D$16</f>
        <v>EA</v>
      </c>
      <c r="T223" s="107">
        <f t="shared" si="34"/>
        <v>0</v>
      </c>
      <c r="V223" s="105" t="str">
        <f>$B$16</f>
        <v>Single Panel Balcony Door</v>
      </c>
      <c r="W223" s="106">
        <v>2</v>
      </c>
      <c r="X223" s="107" t="str">
        <f>$D$16</f>
        <v>EA</v>
      </c>
      <c r="Y223" s="107">
        <f t="shared" si="35"/>
        <v>0</v>
      </c>
      <c r="AA223" s="105" t="str">
        <f>$B$16</f>
        <v>Single Panel Balcony Door</v>
      </c>
      <c r="AB223" s="106">
        <v>2</v>
      </c>
      <c r="AC223" s="107" t="str">
        <f>$D$16</f>
        <v>EA</v>
      </c>
      <c r="AD223" s="107">
        <f t="shared" si="36"/>
        <v>2</v>
      </c>
    </row>
    <row r="224" spans="1:97" s="72" customFormat="1">
      <c r="B224" s="105" t="str">
        <f>$B$18</f>
        <v>Single Panel Entry Door</v>
      </c>
      <c r="C224" s="106">
        <f t="shared" si="31"/>
        <v>0</v>
      </c>
      <c r="D224" s="107" t="str">
        <f>$D$18</f>
        <v>EA</v>
      </c>
      <c r="G224" s="105" t="str">
        <f>$B$18</f>
        <v>Single Panel Entry Door</v>
      </c>
      <c r="H224" s="106">
        <v>0</v>
      </c>
      <c r="I224" s="107" t="str">
        <f>$D$18</f>
        <v>EA</v>
      </c>
      <c r="J224" s="107">
        <f t="shared" si="32"/>
        <v>0</v>
      </c>
      <c r="L224" s="105" t="str">
        <f>$B$18</f>
        <v>Single Panel Entry Door</v>
      </c>
      <c r="M224" s="106">
        <v>0</v>
      </c>
      <c r="N224" s="107" t="str">
        <f>$D$18</f>
        <v>EA</v>
      </c>
      <c r="O224" s="107">
        <f t="shared" si="33"/>
        <v>0</v>
      </c>
      <c r="Q224" s="105" t="str">
        <f>$B$18</f>
        <v>Single Panel Entry Door</v>
      </c>
      <c r="R224" s="106">
        <v>0</v>
      </c>
      <c r="S224" s="107" t="str">
        <f>$D$18</f>
        <v>EA</v>
      </c>
      <c r="T224" s="107">
        <f t="shared" si="34"/>
        <v>0</v>
      </c>
      <c r="V224" s="105" t="str">
        <f>$B$18</f>
        <v>Single Panel Entry Door</v>
      </c>
      <c r="W224" s="106">
        <v>0</v>
      </c>
      <c r="X224" s="107" t="str">
        <f>$D$18</f>
        <v>EA</v>
      </c>
      <c r="Y224" s="107">
        <f t="shared" si="35"/>
        <v>0</v>
      </c>
      <c r="AA224" s="105" t="str">
        <f>$B$18</f>
        <v>Single Panel Entry Door</v>
      </c>
      <c r="AB224" s="106">
        <v>0</v>
      </c>
      <c r="AC224" s="107" t="str">
        <f>$D$18</f>
        <v>EA</v>
      </c>
      <c r="AD224" s="107">
        <f t="shared" si="36"/>
        <v>0</v>
      </c>
      <c r="CI224" s="76"/>
      <c r="CJ224" s="76"/>
      <c r="CK224" s="76"/>
      <c r="CL224" s="76"/>
      <c r="CM224" s="76"/>
      <c r="CN224" s="76"/>
      <c r="CO224" s="76"/>
      <c r="CP224" s="76"/>
      <c r="CQ224" s="76"/>
      <c r="CR224" s="76"/>
      <c r="CS224" s="76"/>
    </row>
    <row r="225" spans="2:97" s="72" customFormat="1">
      <c r="B225" s="105" t="str">
        <f>$B$20</f>
        <v>Single Panel Interior Door</v>
      </c>
      <c r="C225" s="106">
        <f t="shared" si="31"/>
        <v>2</v>
      </c>
      <c r="D225" s="107" t="str">
        <f>$D$20</f>
        <v>EA</v>
      </c>
      <c r="G225" s="105" t="str">
        <f>$B$20</f>
        <v>Single Panel Interior Door</v>
      </c>
      <c r="H225" s="106">
        <v>2</v>
      </c>
      <c r="I225" s="107" t="str">
        <f>$D$20</f>
        <v>EA</v>
      </c>
      <c r="J225" s="107">
        <f t="shared" si="32"/>
        <v>0</v>
      </c>
      <c r="L225" s="105" t="str">
        <f>$B$20</f>
        <v>Single Panel Interior Door</v>
      </c>
      <c r="M225" s="106">
        <v>2</v>
      </c>
      <c r="N225" s="107" t="str">
        <f>$D$20</f>
        <v>EA</v>
      </c>
      <c r="O225" s="107">
        <f t="shared" si="33"/>
        <v>0</v>
      </c>
      <c r="Q225" s="105" t="str">
        <f>$B$20</f>
        <v>Single Panel Interior Door</v>
      </c>
      <c r="R225" s="106">
        <v>2</v>
      </c>
      <c r="S225" s="107" t="str">
        <f>$D$20</f>
        <v>EA</v>
      </c>
      <c r="T225" s="107">
        <f t="shared" si="34"/>
        <v>0</v>
      </c>
      <c r="V225" s="105" t="str">
        <f>$B$20</f>
        <v>Single Panel Interior Door</v>
      </c>
      <c r="W225" s="106">
        <v>2</v>
      </c>
      <c r="X225" s="107" t="str">
        <f>$D$20</f>
        <v>EA</v>
      </c>
      <c r="Y225" s="107">
        <f t="shared" si="35"/>
        <v>0</v>
      </c>
      <c r="AA225" s="105" t="str">
        <f>$B$20</f>
        <v>Single Panel Interior Door</v>
      </c>
      <c r="AB225" s="106">
        <v>2</v>
      </c>
      <c r="AC225" s="107" t="str">
        <f>$D$20</f>
        <v>EA</v>
      </c>
      <c r="AD225" s="107">
        <f t="shared" si="36"/>
        <v>2</v>
      </c>
      <c r="CI225" s="76"/>
      <c r="CJ225" s="76"/>
      <c r="CK225" s="76"/>
      <c r="CL225" s="76"/>
      <c r="CM225" s="76"/>
      <c r="CN225" s="76"/>
      <c r="CO225" s="76"/>
      <c r="CP225" s="76"/>
      <c r="CQ225" s="76"/>
      <c r="CR225" s="76"/>
      <c r="CS225" s="76"/>
    </row>
    <row r="226" spans="2:97" s="72" customFormat="1">
      <c r="B226" s="105" t="str">
        <f>$B$25</f>
        <v>Skim Coat Gypsum Plaster Ceiling</v>
      </c>
      <c r="C226" s="106">
        <f t="shared" si="31"/>
        <v>1173</v>
      </c>
      <c r="D226" s="107" t="str">
        <f>$D$25</f>
        <v>SF</v>
      </c>
      <c r="G226" s="105" t="str">
        <f>$B$25</f>
        <v>Skim Coat Gypsum Plaster Ceiling</v>
      </c>
      <c r="H226" s="106">
        <v>1172.47</v>
      </c>
      <c r="I226" s="107" t="str">
        <f>$D$25</f>
        <v>SF</v>
      </c>
      <c r="J226" s="107">
        <f t="shared" si="32"/>
        <v>0</v>
      </c>
      <c r="L226" s="105" t="str">
        <f>$B$25</f>
        <v>Skim Coat Gypsum Plaster Ceiling</v>
      </c>
      <c r="M226" s="106">
        <v>1172.47</v>
      </c>
      <c r="N226" s="107" t="str">
        <f>$D$25</f>
        <v>SF</v>
      </c>
      <c r="O226" s="107">
        <f t="shared" si="33"/>
        <v>0</v>
      </c>
      <c r="Q226" s="105" t="str">
        <f>$B$25</f>
        <v>Skim Coat Gypsum Plaster Ceiling</v>
      </c>
      <c r="R226" s="106">
        <v>1172.47</v>
      </c>
      <c r="S226" s="107" t="str">
        <f>$D$25</f>
        <v>SF</v>
      </c>
      <c r="T226" s="107">
        <f t="shared" si="34"/>
        <v>0</v>
      </c>
      <c r="V226" s="105" t="str">
        <f>$B$25</f>
        <v>Skim Coat Gypsum Plaster Ceiling</v>
      </c>
      <c r="W226" s="106">
        <v>1172.47</v>
      </c>
      <c r="X226" s="107" t="str">
        <f>$D$25</f>
        <v>SF</v>
      </c>
      <c r="Y226" s="107">
        <f t="shared" si="35"/>
        <v>0</v>
      </c>
      <c r="AA226" s="105" t="str">
        <f>$B$25</f>
        <v>Skim Coat Gypsum Plaster Ceiling</v>
      </c>
      <c r="AB226" s="106">
        <v>1172.47</v>
      </c>
      <c r="AC226" s="107" t="str">
        <f>$D$25</f>
        <v>SF</v>
      </c>
      <c r="AD226" s="107">
        <f t="shared" si="36"/>
        <v>1173</v>
      </c>
      <c r="CI226" s="76"/>
      <c r="CJ226" s="76"/>
      <c r="CK226" s="76"/>
      <c r="CL226" s="76"/>
      <c r="CM226" s="76"/>
      <c r="CN226" s="76"/>
      <c r="CO226" s="76"/>
      <c r="CP226" s="76"/>
      <c r="CQ226" s="76"/>
      <c r="CR226" s="76"/>
      <c r="CS226" s="76"/>
    </row>
    <row r="227" spans="2:97" s="72" customFormat="1">
      <c r="B227" s="105" t="str">
        <f>$B$29</f>
        <v>Floor Finish @ Bathroom</v>
      </c>
      <c r="C227" s="106">
        <f t="shared" si="31"/>
        <v>151</v>
      </c>
      <c r="D227" s="107" t="str">
        <f>$D$29</f>
        <v>SF</v>
      </c>
      <c r="G227" s="105" t="str">
        <f>$B$29</f>
        <v>Floor Finish @ Bathroom</v>
      </c>
      <c r="H227" s="106">
        <v>150.09</v>
      </c>
      <c r="I227" s="107" t="str">
        <f>$D$29</f>
        <v>SF</v>
      </c>
      <c r="J227" s="107">
        <f t="shared" si="32"/>
        <v>0</v>
      </c>
      <c r="L227" s="105" t="str">
        <f>$B$29</f>
        <v>Floor Finish @ Bathroom</v>
      </c>
      <c r="M227" s="106">
        <v>150.09</v>
      </c>
      <c r="N227" s="107" t="str">
        <f>$D$29</f>
        <v>SF</v>
      </c>
      <c r="O227" s="107">
        <f t="shared" si="33"/>
        <v>0</v>
      </c>
      <c r="Q227" s="105" t="str">
        <f>$B$29</f>
        <v>Floor Finish @ Bathroom</v>
      </c>
      <c r="R227" s="106">
        <v>150.09</v>
      </c>
      <c r="S227" s="107" t="str">
        <f>$D$29</f>
        <v>SF</v>
      </c>
      <c r="T227" s="107">
        <f t="shared" si="34"/>
        <v>0</v>
      </c>
      <c r="V227" s="105" t="str">
        <f>$B$29</f>
        <v>Floor Finish @ Bathroom</v>
      </c>
      <c r="W227" s="106">
        <v>150.09</v>
      </c>
      <c r="X227" s="107" t="str">
        <f>$D$29</f>
        <v>SF</v>
      </c>
      <c r="Y227" s="107">
        <f t="shared" si="35"/>
        <v>0</v>
      </c>
      <c r="AA227" s="105" t="str">
        <f>$B$29</f>
        <v>Floor Finish @ Bathroom</v>
      </c>
      <c r="AB227" s="106">
        <v>150.09</v>
      </c>
      <c r="AC227" s="107" t="str">
        <f>$D$29</f>
        <v>SF</v>
      </c>
      <c r="AD227" s="107">
        <f t="shared" si="36"/>
        <v>151</v>
      </c>
      <c r="CI227" s="76"/>
      <c r="CJ227" s="76"/>
      <c r="CK227" s="76"/>
      <c r="CL227" s="76"/>
      <c r="CM227" s="76"/>
      <c r="CN227" s="76"/>
      <c r="CO227" s="76"/>
      <c r="CP227" s="76"/>
      <c r="CQ227" s="76"/>
      <c r="CR227" s="76"/>
      <c r="CS227" s="76"/>
    </row>
    <row r="228" spans="2:97" s="72" customFormat="1">
      <c r="B228" s="105" t="str">
        <f>$B$31</f>
        <v>Floor Finish @ Bedroom</v>
      </c>
      <c r="C228" s="106">
        <f t="shared" si="31"/>
        <v>337</v>
      </c>
      <c r="D228" s="107" t="str">
        <f>$D$31</f>
        <v>SF</v>
      </c>
      <c r="G228" s="105" t="str">
        <f>$B$31</f>
        <v>Floor Finish @ Bedroom</v>
      </c>
      <c r="H228" s="106">
        <v>336.33</v>
      </c>
      <c r="I228" s="107" t="str">
        <f>$D$31</f>
        <v>SF</v>
      </c>
      <c r="J228" s="107">
        <f t="shared" si="32"/>
        <v>0</v>
      </c>
      <c r="L228" s="105" t="str">
        <f>$B$31</f>
        <v>Floor Finish @ Bedroom</v>
      </c>
      <c r="M228" s="106">
        <v>336.33</v>
      </c>
      <c r="N228" s="107" t="str">
        <f>$D$31</f>
        <v>SF</v>
      </c>
      <c r="O228" s="107">
        <f t="shared" si="33"/>
        <v>0</v>
      </c>
      <c r="Q228" s="105" t="str">
        <f>$B$31</f>
        <v>Floor Finish @ Bedroom</v>
      </c>
      <c r="R228" s="106">
        <v>336.33</v>
      </c>
      <c r="S228" s="107" t="str">
        <f>$D$31</f>
        <v>SF</v>
      </c>
      <c r="T228" s="107">
        <f t="shared" si="34"/>
        <v>0</v>
      </c>
      <c r="V228" s="105" t="str">
        <f>$B$31</f>
        <v>Floor Finish @ Bedroom</v>
      </c>
      <c r="W228" s="106">
        <v>336.33</v>
      </c>
      <c r="X228" s="107" t="str">
        <f>$D$31</f>
        <v>SF</v>
      </c>
      <c r="Y228" s="107">
        <f t="shared" si="35"/>
        <v>0</v>
      </c>
      <c r="AA228" s="105" t="str">
        <f>$B$31</f>
        <v>Floor Finish @ Bedroom</v>
      </c>
      <c r="AB228" s="106">
        <v>336.33</v>
      </c>
      <c r="AC228" s="107" t="str">
        <f>$D$31</f>
        <v>SF</v>
      </c>
      <c r="AD228" s="107">
        <f t="shared" si="36"/>
        <v>337</v>
      </c>
      <c r="CI228" s="76"/>
      <c r="CJ228" s="76"/>
      <c r="CK228" s="76"/>
      <c r="CL228" s="76"/>
      <c r="CM228" s="76"/>
      <c r="CN228" s="76"/>
      <c r="CO228" s="76"/>
      <c r="CP228" s="76"/>
      <c r="CQ228" s="76"/>
      <c r="CR228" s="76"/>
      <c r="CS228" s="76"/>
    </row>
    <row r="229" spans="2:97" s="72" customFormat="1">
      <c r="B229" s="105" t="str">
        <f>$B$33</f>
        <v>Floor Finish @ Closet</v>
      </c>
      <c r="C229" s="106">
        <f t="shared" si="31"/>
        <v>0</v>
      </c>
      <c r="D229" s="107" t="str">
        <f>$D$33</f>
        <v>SF</v>
      </c>
      <c r="G229" s="105" t="str">
        <f>$B$33</f>
        <v>Floor Finish @ Closet</v>
      </c>
      <c r="H229" s="106">
        <v>0</v>
      </c>
      <c r="I229" s="107" t="str">
        <f>$D$33</f>
        <v>SF</v>
      </c>
      <c r="J229" s="107">
        <f t="shared" si="32"/>
        <v>0</v>
      </c>
      <c r="L229" s="105" t="str">
        <f>$B$33</f>
        <v>Floor Finish @ Closet</v>
      </c>
      <c r="M229" s="106">
        <v>0</v>
      </c>
      <c r="N229" s="107" t="str">
        <f>$D$33</f>
        <v>SF</v>
      </c>
      <c r="O229" s="107">
        <f t="shared" si="33"/>
        <v>0</v>
      </c>
      <c r="Q229" s="105" t="str">
        <f>$B$33</f>
        <v>Floor Finish @ Closet</v>
      </c>
      <c r="R229" s="106">
        <v>0</v>
      </c>
      <c r="S229" s="107" t="str">
        <f>$D$33</f>
        <v>SF</v>
      </c>
      <c r="T229" s="107">
        <f t="shared" si="34"/>
        <v>0</v>
      </c>
      <c r="V229" s="105" t="str">
        <f>$B$33</f>
        <v>Floor Finish @ Closet</v>
      </c>
      <c r="W229" s="106">
        <v>0</v>
      </c>
      <c r="X229" s="107" t="str">
        <f>$D$33</f>
        <v>SF</v>
      </c>
      <c r="Y229" s="107">
        <f t="shared" si="35"/>
        <v>0</v>
      </c>
      <c r="AA229" s="105" t="str">
        <f>$B$33</f>
        <v>Floor Finish @ Closet</v>
      </c>
      <c r="AB229" s="106">
        <v>0</v>
      </c>
      <c r="AC229" s="107" t="str">
        <f>$D$33</f>
        <v>SF</v>
      </c>
      <c r="AD229" s="107">
        <f t="shared" si="36"/>
        <v>0</v>
      </c>
      <c r="CI229" s="76"/>
      <c r="CJ229" s="76"/>
      <c r="CK229" s="76"/>
      <c r="CL229" s="76"/>
      <c r="CM229" s="76"/>
      <c r="CN229" s="76"/>
      <c r="CO229" s="76"/>
      <c r="CP229" s="76"/>
      <c r="CQ229" s="76"/>
      <c r="CR229" s="76"/>
      <c r="CS229" s="76"/>
    </row>
    <row r="230" spans="2:97" s="72" customFormat="1">
      <c r="B230" s="105" t="str">
        <f>$B$35</f>
        <v>Floor Finish @ Hall</v>
      </c>
      <c r="C230" s="106">
        <f t="shared" si="31"/>
        <v>691</v>
      </c>
      <c r="D230" s="107" t="str">
        <f>$D$35</f>
        <v>SF</v>
      </c>
      <c r="G230" s="105" t="str">
        <f>$B$35</f>
        <v>Floor Finish @ Hall</v>
      </c>
      <c r="H230" s="106">
        <v>690.83</v>
      </c>
      <c r="I230" s="107" t="str">
        <f>$D$35</f>
        <v>SF</v>
      </c>
      <c r="J230" s="107">
        <f t="shared" si="32"/>
        <v>0</v>
      </c>
      <c r="L230" s="105" t="str">
        <f>$B$35</f>
        <v>Floor Finish @ Hall</v>
      </c>
      <c r="M230" s="106">
        <v>690.83</v>
      </c>
      <c r="N230" s="107" t="str">
        <f>$D$35</f>
        <v>SF</v>
      </c>
      <c r="O230" s="107">
        <f t="shared" si="33"/>
        <v>0</v>
      </c>
      <c r="Q230" s="105" t="str">
        <f>$B$35</f>
        <v>Floor Finish @ Hall</v>
      </c>
      <c r="R230" s="106">
        <v>690.83</v>
      </c>
      <c r="S230" s="107" t="str">
        <f>$D$35</f>
        <v>SF</v>
      </c>
      <c r="T230" s="107">
        <f t="shared" si="34"/>
        <v>0</v>
      </c>
      <c r="V230" s="105" t="str">
        <f>$B$35</f>
        <v>Floor Finish @ Hall</v>
      </c>
      <c r="W230" s="106">
        <v>690.83</v>
      </c>
      <c r="X230" s="107" t="str">
        <f>$D$35</f>
        <v>SF</v>
      </c>
      <c r="Y230" s="107">
        <f t="shared" si="35"/>
        <v>0</v>
      </c>
      <c r="AA230" s="105" t="str">
        <f>$B$35</f>
        <v>Floor Finish @ Hall</v>
      </c>
      <c r="AB230" s="106">
        <v>690.83</v>
      </c>
      <c r="AC230" s="107" t="str">
        <f>$D$35</f>
        <v>SF</v>
      </c>
      <c r="AD230" s="107">
        <f t="shared" si="36"/>
        <v>691</v>
      </c>
      <c r="CI230" s="76"/>
      <c r="CJ230" s="76"/>
      <c r="CK230" s="76"/>
      <c r="CL230" s="76"/>
      <c r="CM230" s="76"/>
      <c r="CN230" s="76"/>
      <c r="CO230" s="76"/>
      <c r="CP230" s="76"/>
      <c r="CQ230" s="76"/>
      <c r="CR230" s="76"/>
      <c r="CS230" s="76"/>
    </row>
    <row r="231" spans="2:97" s="72" customFormat="1">
      <c r="B231" s="105" t="str">
        <f>$B$37</f>
        <v>Floor Finish @ Shower</v>
      </c>
      <c r="C231" s="106">
        <f t="shared" si="31"/>
        <v>0</v>
      </c>
      <c r="D231" s="107" t="str">
        <f>$D$37</f>
        <v>SF</v>
      </c>
      <c r="G231" s="105" t="str">
        <f>$B$37</f>
        <v>Floor Finish @ Shower</v>
      </c>
      <c r="H231" s="106">
        <v>0</v>
      </c>
      <c r="I231" s="107" t="str">
        <f>$D$37</f>
        <v>SF</v>
      </c>
      <c r="J231" s="107">
        <f t="shared" si="32"/>
        <v>0</v>
      </c>
      <c r="L231" s="105" t="str">
        <f>$B$37</f>
        <v>Floor Finish @ Shower</v>
      </c>
      <c r="M231" s="106">
        <v>0</v>
      </c>
      <c r="N231" s="107" t="str">
        <f>$D$37</f>
        <v>SF</v>
      </c>
      <c r="O231" s="107">
        <f t="shared" si="33"/>
        <v>0</v>
      </c>
      <c r="Q231" s="105" t="str">
        <f>$B$37</f>
        <v>Floor Finish @ Shower</v>
      </c>
      <c r="R231" s="106">
        <v>0</v>
      </c>
      <c r="S231" s="107" t="str">
        <f>$D$37</f>
        <v>SF</v>
      </c>
      <c r="T231" s="107">
        <f t="shared" si="34"/>
        <v>0</v>
      </c>
      <c r="V231" s="105" t="str">
        <f>$B$37</f>
        <v>Floor Finish @ Shower</v>
      </c>
      <c r="W231" s="106">
        <v>0</v>
      </c>
      <c r="X231" s="107" t="str">
        <f>$D$37</f>
        <v>SF</v>
      </c>
      <c r="Y231" s="107">
        <f t="shared" si="35"/>
        <v>0</v>
      </c>
      <c r="AA231" s="105" t="str">
        <f>$B$37</f>
        <v>Floor Finish @ Shower</v>
      </c>
      <c r="AB231" s="106">
        <v>0</v>
      </c>
      <c r="AC231" s="107" t="str">
        <f>$D$37</f>
        <v>SF</v>
      </c>
      <c r="AD231" s="107">
        <f t="shared" si="36"/>
        <v>0</v>
      </c>
      <c r="CI231" s="76"/>
      <c r="CJ231" s="76"/>
      <c r="CK231" s="76"/>
      <c r="CL231" s="76"/>
      <c r="CM231" s="76"/>
      <c r="CN231" s="76"/>
      <c r="CO231" s="76"/>
      <c r="CP231" s="76"/>
      <c r="CQ231" s="76"/>
      <c r="CR231" s="76"/>
      <c r="CS231" s="76"/>
    </row>
    <row r="232" spans="2:97" s="72" customFormat="1">
      <c r="B232" s="105" t="str">
        <f>$B$41</f>
        <v>Wall Base</v>
      </c>
      <c r="C232" s="106">
        <f t="shared" si="31"/>
        <v>247</v>
      </c>
      <c r="D232" s="107" t="str">
        <f>$D$41</f>
        <v>LF</v>
      </c>
      <c r="G232" s="105" t="str">
        <f>$B$41</f>
        <v>Wall Base</v>
      </c>
      <c r="H232" s="106">
        <v>246.72139999999999</v>
      </c>
      <c r="I232" s="107" t="str">
        <f>$D$41</f>
        <v>LF</v>
      </c>
      <c r="J232" s="107">
        <f t="shared" si="32"/>
        <v>0</v>
      </c>
      <c r="L232" s="105" t="str">
        <f>$B$41</f>
        <v>Wall Base</v>
      </c>
      <c r="M232" s="106">
        <v>246.72139999999999</v>
      </c>
      <c r="N232" s="107" t="str">
        <f>$D$41</f>
        <v>LF</v>
      </c>
      <c r="O232" s="107">
        <f t="shared" si="33"/>
        <v>0</v>
      </c>
      <c r="Q232" s="105" t="str">
        <f>$B$41</f>
        <v>Wall Base</v>
      </c>
      <c r="R232" s="106">
        <v>246.72139999999999</v>
      </c>
      <c r="S232" s="107" t="str">
        <f>$D$41</f>
        <v>LF</v>
      </c>
      <c r="T232" s="107">
        <f t="shared" si="34"/>
        <v>0</v>
      </c>
      <c r="V232" s="105" t="str">
        <f>$B$41</f>
        <v>Wall Base</v>
      </c>
      <c r="W232" s="106">
        <v>246.72139999999999</v>
      </c>
      <c r="X232" s="107" t="str">
        <f>$D$41</f>
        <v>LF</v>
      </c>
      <c r="Y232" s="107">
        <f t="shared" si="35"/>
        <v>0</v>
      </c>
      <c r="AA232" s="105" t="str">
        <f>$B$41</f>
        <v>Wall Base</v>
      </c>
      <c r="AB232" s="106">
        <v>246.72139999999999</v>
      </c>
      <c r="AC232" s="107" t="str">
        <f>$D$41</f>
        <v>LF</v>
      </c>
      <c r="AD232" s="107">
        <f t="shared" si="36"/>
        <v>247</v>
      </c>
      <c r="CI232" s="76"/>
      <c r="CJ232" s="76"/>
      <c r="CK232" s="76"/>
      <c r="CL232" s="76"/>
      <c r="CM232" s="76"/>
      <c r="CN232" s="76"/>
      <c r="CO232" s="76"/>
      <c r="CP232" s="76"/>
      <c r="CQ232" s="76"/>
      <c r="CR232" s="76"/>
      <c r="CS232" s="76"/>
    </row>
    <row r="233" spans="2:97" s="72" customFormat="1">
      <c r="B233" s="105" t="str">
        <f>$B$45</f>
        <v>Wall Tile @ Bathroom @ Ht. 9'0" (Assumed)</v>
      </c>
      <c r="C233" s="106">
        <f t="shared" si="31"/>
        <v>0</v>
      </c>
      <c r="D233" s="107" t="str">
        <f>$D$45</f>
        <v>LF</v>
      </c>
      <c r="G233" s="105" t="str">
        <f>$B$45</f>
        <v>Wall Tile @ Bathroom @ Ht. 9'0" (Assumed)</v>
      </c>
      <c r="H233" s="106">
        <v>0</v>
      </c>
      <c r="I233" s="107" t="str">
        <f>$D$45</f>
        <v>LF</v>
      </c>
      <c r="J233" s="107">
        <f t="shared" si="32"/>
        <v>0</v>
      </c>
      <c r="L233" s="105" t="str">
        <f>$B$45</f>
        <v>Wall Tile @ Bathroom @ Ht. 9'0" (Assumed)</v>
      </c>
      <c r="M233" s="106">
        <v>0</v>
      </c>
      <c r="N233" s="107" t="str">
        <f>$D$45</f>
        <v>LF</v>
      </c>
      <c r="O233" s="107">
        <f t="shared" si="33"/>
        <v>0</v>
      </c>
      <c r="Q233" s="105" t="str">
        <f>$B$45</f>
        <v>Wall Tile @ Bathroom @ Ht. 9'0" (Assumed)</v>
      </c>
      <c r="R233" s="106">
        <v>0</v>
      </c>
      <c r="S233" s="107" t="str">
        <f>$D$45</f>
        <v>LF</v>
      </c>
      <c r="T233" s="107">
        <f t="shared" si="34"/>
        <v>0</v>
      </c>
      <c r="V233" s="105" t="str">
        <f>$B$45</f>
        <v>Wall Tile @ Bathroom @ Ht. 9'0" (Assumed)</v>
      </c>
      <c r="W233" s="106">
        <v>0</v>
      </c>
      <c r="X233" s="107" t="str">
        <f>$D$45</f>
        <v>LF</v>
      </c>
      <c r="Y233" s="107">
        <f t="shared" si="35"/>
        <v>0</v>
      </c>
      <c r="AA233" s="105" t="str">
        <f>$B$45</f>
        <v>Wall Tile @ Bathroom @ Ht. 9'0" (Assumed)</v>
      </c>
      <c r="AB233" s="106">
        <v>0</v>
      </c>
      <c r="AC233" s="107" t="str">
        <f>$D$45</f>
        <v>LF</v>
      </c>
      <c r="AD233" s="107">
        <f t="shared" si="36"/>
        <v>0</v>
      </c>
      <c r="CI233" s="76"/>
      <c r="CJ233" s="76"/>
      <c r="CK233" s="76"/>
      <c r="CL233" s="76"/>
      <c r="CM233" s="76"/>
      <c r="CN233" s="76"/>
      <c r="CO233" s="76"/>
      <c r="CP233" s="76"/>
      <c r="CQ233" s="76"/>
      <c r="CR233" s="76"/>
      <c r="CS233" s="76"/>
    </row>
    <row r="234" spans="2:97" s="72" customFormat="1">
      <c r="B234" s="105" t="str">
        <f>$B$50</f>
        <v>Shower Enclosure Door W/ Partition</v>
      </c>
      <c r="C234" s="106">
        <f t="shared" si="31"/>
        <v>1</v>
      </c>
      <c r="D234" s="107" t="str">
        <f>$D$50</f>
        <v>EA</v>
      </c>
      <c r="G234" s="105" t="str">
        <f>$B$50</f>
        <v>Shower Enclosure Door W/ Partition</v>
      </c>
      <c r="H234" s="106">
        <v>1</v>
      </c>
      <c r="I234" s="107" t="str">
        <f>$D$50</f>
        <v>EA</v>
      </c>
      <c r="J234" s="107">
        <f t="shared" si="32"/>
        <v>0</v>
      </c>
      <c r="L234" s="105" t="str">
        <f>$B$50</f>
        <v>Shower Enclosure Door W/ Partition</v>
      </c>
      <c r="M234" s="106">
        <v>1</v>
      </c>
      <c r="N234" s="107" t="str">
        <f>$D$50</f>
        <v>EA</v>
      </c>
      <c r="O234" s="107">
        <f t="shared" si="33"/>
        <v>0</v>
      </c>
      <c r="Q234" s="105" t="str">
        <f>$B$50</f>
        <v>Shower Enclosure Door W/ Partition</v>
      </c>
      <c r="R234" s="106">
        <v>1</v>
      </c>
      <c r="S234" s="107" t="str">
        <f>$D$50</f>
        <v>EA</v>
      </c>
      <c r="T234" s="107">
        <f t="shared" si="34"/>
        <v>0</v>
      </c>
      <c r="V234" s="105" t="str">
        <f>$B$50</f>
        <v>Shower Enclosure Door W/ Partition</v>
      </c>
      <c r="W234" s="106">
        <v>1</v>
      </c>
      <c r="X234" s="107" t="str">
        <f>$D$50</f>
        <v>EA</v>
      </c>
      <c r="Y234" s="107">
        <f t="shared" si="35"/>
        <v>0</v>
      </c>
      <c r="AA234" s="105" t="str">
        <f>$B$50</f>
        <v>Shower Enclosure Door W/ Partition</v>
      </c>
      <c r="AB234" s="106">
        <v>1</v>
      </c>
      <c r="AC234" s="107" t="str">
        <f>$D$50</f>
        <v>EA</v>
      </c>
      <c r="AD234" s="107">
        <f t="shared" si="36"/>
        <v>1</v>
      </c>
      <c r="CI234" s="76"/>
      <c r="CJ234" s="76"/>
      <c r="CK234" s="76"/>
      <c r="CL234" s="76"/>
      <c r="CM234" s="76"/>
      <c r="CN234" s="76"/>
      <c r="CO234" s="76"/>
      <c r="CP234" s="76"/>
      <c r="CQ234" s="76"/>
      <c r="CR234" s="76"/>
      <c r="CS234" s="76"/>
    </row>
    <row r="235" spans="2:97" s="72" customFormat="1">
      <c r="B235" s="105" t="str">
        <f>$B$52</f>
        <v>Lavatory</v>
      </c>
      <c r="C235" s="106">
        <f t="shared" si="31"/>
        <v>1</v>
      </c>
      <c r="D235" s="107" t="str">
        <f>$D$52</f>
        <v>EA</v>
      </c>
      <c r="G235" s="105" t="str">
        <f>$B$52</f>
        <v>Lavatory</v>
      </c>
      <c r="H235" s="106">
        <v>1</v>
      </c>
      <c r="I235" s="107" t="str">
        <f>$D$52</f>
        <v>EA</v>
      </c>
      <c r="J235" s="107">
        <f t="shared" si="32"/>
        <v>0</v>
      </c>
      <c r="L235" s="105" t="str">
        <f>$B$52</f>
        <v>Lavatory</v>
      </c>
      <c r="M235" s="106">
        <v>1</v>
      </c>
      <c r="N235" s="107" t="str">
        <f>$D$52</f>
        <v>EA</v>
      </c>
      <c r="O235" s="107">
        <f t="shared" si="33"/>
        <v>0</v>
      </c>
      <c r="Q235" s="105" t="str">
        <f>$B$52</f>
        <v>Lavatory</v>
      </c>
      <c r="R235" s="106">
        <v>1</v>
      </c>
      <c r="S235" s="107" t="str">
        <f>$D$52</f>
        <v>EA</v>
      </c>
      <c r="T235" s="107">
        <f t="shared" si="34"/>
        <v>0</v>
      </c>
      <c r="V235" s="105" t="str">
        <f>$B$52</f>
        <v>Lavatory</v>
      </c>
      <c r="W235" s="106">
        <v>1</v>
      </c>
      <c r="X235" s="107" t="str">
        <f>$D$52</f>
        <v>EA</v>
      </c>
      <c r="Y235" s="107">
        <f t="shared" si="35"/>
        <v>0</v>
      </c>
      <c r="AA235" s="105" t="str">
        <f>$B$52</f>
        <v>Lavatory</v>
      </c>
      <c r="AB235" s="106">
        <v>1</v>
      </c>
      <c r="AC235" s="107" t="str">
        <f>$D$52</f>
        <v>EA</v>
      </c>
      <c r="AD235" s="107">
        <f t="shared" si="36"/>
        <v>1</v>
      </c>
      <c r="CI235" s="76"/>
      <c r="CJ235" s="76"/>
      <c r="CK235" s="76"/>
      <c r="CL235" s="76"/>
      <c r="CM235" s="76"/>
      <c r="CN235" s="76"/>
      <c r="CO235" s="76"/>
      <c r="CP235" s="76"/>
      <c r="CQ235" s="76"/>
      <c r="CR235" s="76"/>
      <c r="CS235" s="76"/>
    </row>
    <row r="236" spans="2:97" s="72" customFormat="1">
      <c r="B236" s="105" t="str">
        <f>$B$54</f>
        <v>Shower</v>
      </c>
      <c r="C236" s="106">
        <f t="shared" si="31"/>
        <v>1</v>
      </c>
      <c r="D236" s="107" t="str">
        <f>$D$54</f>
        <v>EA</v>
      </c>
      <c r="G236" s="105" t="str">
        <f>$B$54</f>
        <v>Shower</v>
      </c>
      <c r="H236" s="106">
        <v>1</v>
      </c>
      <c r="I236" s="107" t="str">
        <f>$D$54</f>
        <v>EA</v>
      </c>
      <c r="J236" s="107">
        <f t="shared" si="32"/>
        <v>0</v>
      </c>
      <c r="L236" s="105" t="str">
        <f>$B$54</f>
        <v>Shower</v>
      </c>
      <c r="M236" s="106">
        <v>1</v>
      </c>
      <c r="N236" s="107" t="str">
        <f>$D$54</f>
        <v>EA</v>
      </c>
      <c r="O236" s="107">
        <f t="shared" si="33"/>
        <v>0</v>
      </c>
      <c r="Q236" s="105" t="str">
        <f>$B$54</f>
        <v>Shower</v>
      </c>
      <c r="R236" s="106">
        <v>1</v>
      </c>
      <c r="S236" s="107" t="str">
        <f>$D$54</f>
        <v>EA</v>
      </c>
      <c r="T236" s="107">
        <f t="shared" si="34"/>
        <v>0</v>
      </c>
      <c r="V236" s="105" t="str">
        <f>$B$54</f>
        <v>Shower</v>
      </c>
      <c r="W236" s="106">
        <v>1</v>
      </c>
      <c r="X236" s="107" t="str">
        <f>$D$54</f>
        <v>EA</v>
      </c>
      <c r="Y236" s="107">
        <f t="shared" si="35"/>
        <v>0</v>
      </c>
      <c r="AA236" s="105" t="str">
        <f>$B$54</f>
        <v>Shower</v>
      </c>
      <c r="AB236" s="106">
        <v>1</v>
      </c>
      <c r="AC236" s="107" t="str">
        <f>$D$54</f>
        <v>EA</v>
      </c>
      <c r="AD236" s="107">
        <f t="shared" si="36"/>
        <v>1</v>
      </c>
      <c r="CI236" s="76"/>
      <c r="CJ236" s="76"/>
      <c r="CK236" s="76"/>
      <c r="CL236" s="76"/>
      <c r="CM236" s="76"/>
      <c r="CN236" s="76"/>
      <c r="CO236" s="76"/>
      <c r="CP236" s="76"/>
      <c r="CQ236" s="76"/>
      <c r="CR236" s="76"/>
      <c r="CS236" s="76"/>
    </row>
    <row r="237" spans="2:97" s="72" customFormat="1">
      <c r="B237" s="105" t="str">
        <f>$B$56</f>
        <v>Water Closet</v>
      </c>
      <c r="C237" s="106">
        <f t="shared" si="31"/>
        <v>1</v>
      </c>
      <c r="D237" s="107" t="str">
        <f>$D$56</f>
        <v>EA</v>
      </c>
      <c r="G237" s="105" t="str">
        <f>$B$56</f>
        <v>Water Closet</v>
      </c>
      <c r="H237" s="106">
        <v>1</v>
      </c>
      <c r="I237" s="107" t="str">
        <f>$D$56</f>
        <v>EA</v>
      </c>
      <c r="J237" s="107">
        <f t="shared" si="32"/>
        <v>0</v>
      </c>
      <c r="L237" s="105" t="str">
        <f>$B$56</f>
        <v>Water Closet</v>
      </c>
      <c r="M237" s="106">
        <v>1</v>
      </c>
      <c r="N237" s="107" t="str">
        <f>$D$56</f>
        <v>EA</v>
      </c>
      <c r="O237" s="107">
        <f t="shared" si="33"/>
        <v>0</v>
      </c>
      <c r="Q237" s="105" t="str">
        <f>$B$56</f>
        <v>Water Closet</v>
      </c>
      <c r="R237" s="106">
        <v>1</v>
      </c>
      <c r="S237" s="107" t="str">
        <f>$D$56</f>
        <v>EA</v>
      </c>
      <c r="T237" s="107">
        <f t="shared" si="34"/>
        <v>0</v>
      </c>
      <c r="V237" s="105" t="str">
        <f>$B$56</f>
        <v>Water Closet</v>
      </c>
      <c r="W237" s="106">
        <v>1</v>
      </c>
      <c r="X237" s="107" t="str">
        <f>$D$56</f>
        <v>EA</v>
      </c>
      <c r="Y237" s="107">
        <f t="shared" si="35"/>
        <v>0</v>
      </c>
      <c r="AA237" s="105" t="str">
        <f>$B$56</f>
        <v>Water Closet</v>
      </c>
      <c r="AB237" s="106">
        <v>1</v>
      </c>
      <c r="AC237" s="107" t="str">
        <f>$D$56</f>
        <v>EA</v>
      </c>
      <c r="AD237" s="107">
        <f t="shared" si="36"/>
        <v>1</v>
      </c>
      <c r="CI237" s="76"/>
      <c r="CJ237" s="76"/>
      <c r="CK237" s="76"/>
      <c r="CL237" s="76"/>
      <c r="CM237" s="76"/>
      <c r="CN237" s="76"/>
      <c r="CO237" s="76"/>
      <c r="CP237" s="76"/>
      <c r="CQ237" s="76"/>
      <c r="CR237" s="76"/>
      <c r="CS237" s="76"/>
    </row>
    <row r="238" spans="2:97" s="72" customFormat="1">
      <c r="B238" s="105" t="str">
        <f>$B$61</f>
        <v>Chilled Water Concealed Ducted Unit w/ Electric Heat</v>
      </c>
      <c r="C238" s="106">
        <f t="shared" si="31"/>
        <v>1</v>
      </c>
      <c r="D238" s="107" t="str">
        <f>$D$61</f>
        <v>EA</v>
      </c>
      <c r="G238" s="105" t="str">
        <f>$B$61</f>
        <v>Chilled Water Concealed Ducted Unit w/ Electric Heat</v>
      </c>
      <c r="H238" s="106">
        <v>1</v>
      </c>
      <c r="I238" s="107" t="str">
        <f>$D$61</f>
        <v>EA</v>
      </c>
      <c r="J238" s="107">
        <f t="shared" si="32"/>
        <v>0</v>
      </c>
      <c r="L238" s="105" t="str">
        <f>$B$61</f>
        <v>Chilled Water Concealed Ducted Unit w/ Electric Heat</v>
      </c>
      <c r="M238" s="106">
        <v>1</v>
      </c>
      <c r="N238" s="107" t="str">
        <f>$D$61</f>
        <v>EA</v>
      </c>
      <c r="O238" s="107">
        <f t="shared" si="33"/>
        <v>0</v>
      </c>
      <c r="Q238" s="105" t="str">
        <f>$B$61</f>
        <v>Chilled Water Concealed Ducted Unit w/ Electric Heat</v>
      </c>
      <c r="R238" s="106">
        <v>1</v>
      </c>
      <c r="S238" s="107" t="str">
        <f>$D$61</f>
        <v>EA</v>
      </c>
      <c r="T238" s="107">
        <f t="shared" si="34"/>
        <v>0</v>
      </c>
      <c r="V238" s="105" t="str">
        <f>$B$61</f>
        <v>Chilled Water Concealed Ducted Unit w/ Electric Heat</v>
      </c>
      <c r="W238" s="106">
        <v>1</v>
      </c>
      <c r="X238" s="107" t="str">
        <f>$D$61</f>
        <v>EA</v>
      </c>
      <c r="Y238" s="107">
        <f t="shared" si="35"/>
        <v>0</v>
      </c>
      <c r="AA238" s="105" t="str">
        <f>$B$61</f>
        <v>Chilled Water Concealed Ducted Unit w/ Electric Heat</v>
      </c>
      <c r="AB238" s="106">
        <v>1</v>
      </c>
      <c r="AC238" s="107" t="str">
        <f>$D$61</f>
        <v>EA</v>
      </c>
      <c r="AD238" s="107">
        <f t="shared" si="36"/>
        <v>1</v>
      </c>
      <c r="CI238" s="76"/>
      <c r="CJ238" s="76"/>
      <c r="CK238" s="76"/>
      <c r="CL238" s="76"/>
      <c r="CM238" s="76"/>
      <c r="CN238" s="76"/>
      <c r="CO238" s="76"/>
      <c r="CP238" s="76"/>
      <c r="CQ238" s="76"/>
      <c r="CR238" s="76"/>
      <c r="CS238" s="76"/>
    </row>
    <row r="239" spans="2:97" s="72" customFormat="1">
      <c r="B239" s="108" t="str">
        <f>$B$66</f>
        <v>Panel Board</v>
      </c>
      <c r="C239" s="109">
        <f t="shared" si="31"/>
        <v>1</v>
      </c>
      <c r="D239" s="110" t="str">
        <f>$D$66</f>
        <v>EA</v>
      </c>
      <c r="G239" s="108" t="str">
        <f>$B$66</f>
        <v>Panel Board</v>
      </c>
      <c r="H239" s="109">
        <v>1</v>
      </c>
      <c r="I239" s="110" t="str">
        <f>$D$66</f>
        <v>EA</v>
      </c>
      <c r="J239" s="110">
        <f t="shared" si="32"/>
        <v>0</v>
      </c>
      <c r="L239" s="108" t="str">
        <f>$B$66</f>
        <v>Panel Board</v>
      </c>
      <c r="M239" s="109">
        <v>1</v>
      </c>
      <c r="N239" s="110" t="str">
        <f>$D$66</f>
        <v>EA</v>
      </c>
      <c r="O239" s="110">
        <f t="shared" si="33"/>
        <v>0</v>
      </c>
      <c r="Q239" s="108" t="str">
        <f>$B$66</f>
        <v>Panel Board</v>
      </c>
      <c r="R239" s="109">
        <v>1</v>
      </c>
      <c r="S239" s="110" t="str">
        <f>$D$66</f>
        <v>EA</v>
      </c>
      <c r="T239" s="110">
        <f t="shared" si="34"/>
        <v>0</v>
      </c>
      <c r="V239" s="108" t="str">
        <f>$B$66</f>
        <v>Panel Board</v>
      </c>
      <c r="W239" s="109">
        <v>1</v>
      </c>
      <c r="X239" s="110" t="str">
        <f>$D$66</f>
        <v>EA</v>
      </c>
      <c r="Y239" s="110">
        <f t="shared" si="35"/>
        <v>0</v>
      </c>
      <c r="AA239" s="108" t="str">
        <f>$B$66</f>
        <v>Panel Board</v>
      </c>
      <c r="AB239" s="109">
        <v>1</v>
      </c>
      <c r="AC239" s="110" t="str">
        <f>$D$66</f>
        <v>EA</v>
      </c>
      <c r="AD239" s="110">
        <f t="shared" si="36"/>
        <v>1</v>
      </c>
      <c r="CI239" s="76"/>
      <c r="CJ239" s="76"/>
      <c r="CK239" s="76"/>
      <c r="CL239" s="76"/>
      <c r="CM239" s="76"/>
      <c r="CN239" s="76"/>
      <c r="CO239" s="76"/>
      <c r="CP239" s="76"/>
      <c r="CQ239" s="76"/>
      <c r="CR239" s="76"/>
      <c r="CS239" s="76"/>
    </row>
    <row r="240" spans="2:97" s="72" customFormat="1"/>
    <row r="241" spans="1:97" s="72" customFormat="1"/>
    <row r="242" spans="1:97" s="72" customFormat="1"/>
    <row r="243" spans="1:97" s="75" customFormat="1" ht="15.75">
      <c r="A243" s="74"/>
      <c r="B243" s="111" t="s">
        <v>75</v>
      </c>
      <c r="C243" s="112">
        <f>H243+M243+R243+W243+AB243</f>
        <v>88</v>
      </c>
      <c r="D243" s="113"/>
      <c r="E243" s="74"/>
      <c r="F243" s="74"/>
      <c r="G243" s="114" t="s">
        <v>65</v>
      </c>
      <c r="H243" s="115">
        <v>16</v>
      </c>
      <c r="I243" s="115" t="s">
        <v>25</v>
      </c>
      <c r="J243" s="120"/>
      <c r="K243" s="74"/>
      <c r="L243" s="114" t="s">
        <v>66</v>
      </c>
      <c r="M243" s="115">
        <v>18</v>
      </c>
      <c r="N243" s="115" t="s">
        <v>25</v>
      </c>
      <c r="O243" s="120"/>
      <c r="P243" s="74"/>
      <c r="Q243" s="114" t="s">
        <v>67</v>
      </c>
      <c r="R243" s="115">
        <v>18</v>
      </c>
      <c r="S243" s="115" t="s">
        <v>25</v>
      </c>
      <c r="T243" s="120"/>
      <c r="U243" s="74"/>
      <c r="V243" s="114" t="s">
        <v>68</v>
      </c>
      <c r="W243" s="115">
        <v>18</v>
      </c>
      <c r="X243" s="115" t="s">
        <v>25</v>
      </c>
      <c r="Y243" s="120"/>
      <c r="Z243" s="74"/>
      <c r="AA243" s="114" t="s">
        <v>69</v>
      </c>
      <c r="AB243" s="115">
        <v>18</v>
      </c>
      <c r="AC243" s="115" t="s">
        <v>25</v>
      </c>
      <c r="AD243" s="120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  <c r="AO243" s="74"/>
      <c r="AP243" s="74"/>
      <c r="AQ243" s="74"/>
      <c r="AR243" s="74"/>
      <c r="AS243" s="74"/>
      <c r="AT243" s="74"/>
      <c r="AU243" s="74"/>
      <c r="AV243" s="74"/>
      <c r="AW243" s="74"/>
      <c r="AX243" s="74"/>
      <c r="AY243" s="74"/>
      <c r="AZ243" s="74"/>
      <c r="BA243" s="74"/>
      <c r="BB243" s="74"/>
      <c r="BC243" s="74"/>
      <c r="BD243" s="74"/>
      <c r="BE243" s="74"/>
      <c r="BF243" s="74"/>
      <c r="BG243" s="74"/>
      <c r="BH243" s="74"/>
      <c r="BI243" s="74"/>
      <c r="BJ243" s="74"/>
      <c r="BK243" s="74"/>
      <c r="BL243" s="74"/>
      <c r="BM243" s="74"/>
      <c r="BN243" s="74"/>
      <c r="BO243" s="74"/>
      <c r="BP243" s="74"/>
      <c r="BQ243" s="74"/>
      <c r="BR243" s="74"/>
      <c r="BS243" s="74"/>
      <c r="BT243" s="74"/>
      <c r="BU243" s="74"/>
      <c r="BV243" s="74"/>
      <c r="BW243" s="74"/>
      <c r="BX243" s="74"/>
      <c r="BY243" s="74"/>
      <c r="BZ243" s="74"/>
      <c r="CA243" s="74"/>
      <c r="CB243" s="74"/>
      <c r="CC243" s="74"/>
      <c r="CD243" s="74"/>
      <c r="CE243" s="74"/>
      <c r="CF243" s="74"/>
      <c r="CG243" s="74"/>
      <c r="CH243" s="74"/>
    </row>
    <row r="244" spans="1:97" s="75" customFormat="1" ht="15.75">
      <c r="A244" s="74"/>
      <c r="B244" s="116"/>
      <c r="C244" s="117"/>
      <c r="D244" s="118"/>
      <c r="E244" s="74"/>
      <c r="F244" s="74"/>
      <c r="G244" s="116"/>
      <c r="H244" s="119"/>
      <c r="I244" s="121"/>
      <c r="J244" s="121"/>
      <c r="K244" s="74"/>
      <c r="L244" s="116"/>
      <c r="M244" s="119"/>
      <c r="N244" s="121"/>
      <c r="O244" s="121"/>
      <c r="P244" s="74"/>
      <c r="Q244" s="116"/>
      <c r="R244" s="119"/>
      <c r="S244" s="121"/>
      <c r="T244" s="121"/>
      <c r="U244" s="74"/>
      <c r="V244" s="116"/>
      <c r="W244" s="119"/>
      <c r="X244" s="121"/>
      <c r="Y244" s="121"/>
      <c r="Z244" s="74"/>
      <c r="AA244" s="116"/>
      <c r="AB244" s="119"/>
      <c r="AC244" s="121"/>
      <c r="AD244" s="121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74"/>
      <c r="AP244" s="74"/>
      <c r="AQ244" s="74"/>
      <c r="AR244" s="74"/>
      <c r="AS244" s="74"/>
      <c r="AT244" s="74"/>
      <c r="AU244" s="74"/>
      <c r="AV244" s="74"/>
      <c r="AW244" s="74"/>
      <c r="AX244" s="74"/>
      <c r="AY244" s="74"/>
      <c r="AZ244" s="74"/>
      <c r="BA244" s="74"/>
      <c r="BB244" s="74"/>
      <c r="BC244" s="74"/>
      <c r="BD244" s="74"/>
      <c r="BE244" s="74"/>
      <c r="BF244" s="74"/>
      <c r="BG244" s="74"/>
      <c r="BH244" s="74"/>
      <c r="BI244" s="74"/>
      <c r="BJ244" s="74"/>
      <c r="BK244" s="74"/>
      <c r="BL244" s="74"/>
      <c r="BM244" s="74"/>
      <c r="BN244" s="74"/>
      <c r="BO244" s="74"/>
      <c r="BP244" s="74"/>
      <c r="BQ244" s="74"/>
      <c r="BR244" s="74"/>
      <c r="BS244" s="74"/>
      <c r="BT244" s="74"/>
      <c r="BU244" s="74"/>
      <c r="BV244" s="74"/>
      <c r="BW244" s="74"/>
      <c r="BX244" s="74"/>
      <c r="BY244" s="74"/>
      <c r="BZ244" s="74"/>
      <c r="CA244" s="74"/>
      <c r="CB244" s="74"/>
      <c r="CC244" s="74"/>
      <c r="CD244" s="74"/>
      <c r="CE244" s="74"/>
      <c r="CF244" s="74"/>
      <c r="CG244" s="74"/>
      <c r="CH244" s="74"/>
    </row>
    <row r="245" spans="1:97">
      <c r="B245" s="102" t="str">
        <f>$B$7</f>
        <v>1 Bed / 1 Bath</v>
      </c>
      <c r="C245" s="103">
        <f t="shared" ref="C245:C264" si="37">AD245+Y245+T245+O245+J245</f>
        <v>88</v>
      </c>
      <c r="D245" s="104" t="str">
        <f>$D$7</f>
        <v>EA</v>
      </c>
      <c r="G245" s="102" t="str">
        <f>$B$7</f>
        <v>1 Bed / 1 Bath</v>
      </c>
      <c r="H245" s="103">
        <v>1</v>
      </c>
      <c r="I245" s="104" t="str">
        <f>$D$7</f>
        <v>EA</v>
      </c>
      <c r="J245" s="104">
        <f t="shared" ref="J245:J264" si="38">ROUNDUP(H245*$H$243,0)</f>
        <v>16</v>
      </c>
      <c r="L245" s="102" t="str">
        <f>$B$7</f>
        <v>1 Bed / 1 Bath</v>
      </c>
      <c r="M245" s="103">
        <v>1</v>
      </c>
      <c r="N245" s="104" t="str">
        <f>$D$7</f>
        <v>EA</v>
      </c>
      <c r="O245" s="104">
        <f t="shared" ref="O245:O264" si="39">ROUNDUP(M245*$M$243,0)</f>
        <v>18</v>
      </c>
      <c r="Q245" s="102" t="str">
        <f>$B$7</f>
        <v>1 Bed / 1 Bath</v>
      </c>
      <c r="R245" s="103">
        <v>1</v>
      </c>
      <c r="S245" s="104" t="str">
        <f>$D$7</f>
        <v>EA</v>
      </c>
      <c r="T245" s="104">
        <f t="shared" ref="T245:T264" si="40">ROUNDUP(R245*$R$243,0)</f>
        <v>18</v>
      </c>
      <c r="V245" s="102" t="str">
        <f>$B$7</f>
        <v>1 Bed / 1 Bath</v>
      </c>
      <c r="W245" s="103">
        <v>1</v>
      </c>
      <c r="X245" s="104" t="str">
        <f>$D$7</f>
        <v>EA</v>
      </c>
      <c r="Y245" s="104">
        <f t="shared" ref="Y245:Y264" si="41">ROUNDUP(W245*$W$243,0)</f>
        <v>18</v>
      </c>
      <c r="AA245" s="102" t="str">
        <f>$B$7</f>
        <v>1 Bed / 1 Bath</v>
      </c>
      <c r="AB245" s="103">
        <v>1</v>
      </c>
      <c r="AC245" s="104" t="str">
        <f>$D$7</f>
        <v>EA</v>
      </c>
      <c r="AD245" s="104">
        <f t="shared" ref="AD245:AD264" si="42">ROUNDUP(AB245*$AB$243,0)</f>
        <v>18</v>
      </c>
    </row>
    <row r="246" spans="1:97">
      <c r="B246" s="105" t="str">
        <f>$B$12</f>
        <v>Double Panel Entry Door</v>
      </c>
      <c r="C246" s="106">
        <f t="shared" si="37"/>
        <v>0</v>
      </c>
      <c r="D246" s="107" t="str">
        <f>$D$12</f>
        <v>EA</v>
      </c>
      <c r="G246" s="105" t="str">
        <f>$B$12</f>
        <v>Double Panel Entry Door</v>
      </c>
      <c r="H246" s="106">
        <v>0</v>
      </c>
      <c r="I246" s="107" t="str">
        <f>$D$12</f>
        <v>EA</v>
      </c>
      <c r="J246" s="107">
        <f t="shared" si="38"/>
        <v>0</v>
      </c>
      <c r="L246" s="105" t="str">
        <f>$B$12</f>
        <v>Double Panel Entry Door</v>
      </c>
      <c r="M246" s="106">
        <v>0</v>
      </c>
      <c r="N246" s="107" t="str">
        <f>$D$12</f>
        <v>EA</v>
      </c>
      <c r="O246" s="107">
        <f t="shared" si="39"/>
        <v>0</v>
      </c>
      <c r="Q246" s="105" t="str">
        <f>$B$12</f>
        <v>Double Panel Entry Door</v>
      </c>
      <c r="R246" s="106">
        <v>0</v>
      </c>
      <c r="S246" s="107" t="str">
        <f>$D$12</f>
        <v>EA</v>
      </c>
      <c r="T246" s="107">
        <f t="shared" si="40"/>
        <v>0</v>
      </c>
      <c r="V246" s="105" t="str">
        <f>$B$12</f>
        <v>Double Panel Entry Door</v>
      </c>
      <c r="W246" s="106">
        <v>0</v>
      </c>
      <c r="X246" s="107" t="str">
        <f>$D$12</f>
        <v>EA</v>
      </c>
      <c r="Y246" s="107">
        <f t="shared" si="41"/>
        <v>0</v>
      </c>
      <c r="AA246" s="105" t="str">
        <f>$B$12</f>
        <v>Double Panel Entry Door</v>
      </c>
      <c r="AB246" s="106">
        <v>0</v>
      </c>
      <c r="AC246" s="107" t="str">
        <f>$D$12</f>
        <v>EA</v>
      </c>
      <c r="AD246" s="107">
        <f t="shared" si="42"/>
        <v>0</v>
      </c>
    </row>
    <row r="247" spans="1:97">
      <c r="B247" s="105" t="str">
        <f>$B$14</f>
        <v>Double Panel Interior Door</v>
      </c>
      <c r="C247" s="106">
        <f t="shared" si="37"/>
        <v>176</v>
      </c>
      <c r="D247" s="107" t="str">
        <f>$D$14</f>
        <v>EA</v>
      </c>
      <c r="G247" s="105" t="str">
        <f>$B$14</f>
        <v>Double Panel Interior Door</v>
      </c>
      <c r="H247" s="106">
        <v>2</v>
      </c>
      <c r="I247" s="107" t="str">
        <f>$D$14</f>
        <v>EA</v>
      </c>
      <c r="J247" s="107">
        <f t="shared" si="38"/>
        <v>32</v>
      </c>
      <c r="L247" s="105" t="str">
        <f>$B$14</f>
        <v>Double Panel Interior Door</v>
      </c>
      <c r="M247" s="106">
        <v>2</v>
      </c>
      <c r="N247" s="107" t="str">
        <f>$D$14</f>
        <v>EA</v>
      </c>
      <c r="O247" s="107">
        <f t="shared" si="39"/>
        <v>36</v>
      </c>
      <c r="Q247" s="105" t="str">
        <f>$B$14</f>
        <v>Double Panel Interior Door</v>
      </c>
      <c r="R247" s="106">
        <v>2</v>
      </c>
      <c r="S247" s="107" t="str">
        <f>$D$14</f>
        <v>EA</v>
      </c>
      <c r="T247" s="107">
        <f t="shared" si="40"/>
        <v>36</v>
      </c>
      <c r="V247" s="105" t="str">
        <f>$B$14</f>
        <v>Double Panel Interior Door</v>
      </c>
      <c r="W247" s="106">
        <v>2</v>
      </c>
      <c r="X247" s="107" t="str">
        <f>$D$14</f>
        <v>EA</v>
      </c>
      <c r="Y247" s="107">
        <f t="shared" si="41"/>
        <v>36</v>
      </c>
      <c r="AA247" s="105" t="str">
        <f>$B$14</f>
        <v>Double Panel Interior Door</v>
      </c>
      <c r="AB247" s="106">
        <v>2</v>
      </c>
      <c r="AC247" s="107" t="str">
        <f>$D$14</f>
        <v>EA</v>
      </c>
      <c r="AD247" s="107">
        <f t="shared" si="42"/>
        <v>36</v>
      </c>
    </row>
    <row r="248" spans="1:97">
      <c r="B248" s="105" t="str">
        <f>$B$16</f>
        <v>Single Panel Balcony Door</v>
      </c>
      <c r="C248" s="106">
        <f t="shared" si="37"/>
        <v>0</v>
      </c>
      <c r="D248" s="107" t="str">
        <f>$D$16</f>
        <v>EA</v>
      </c>
      <c r="G248" s="105" t="str">
        <f>$B$16</f>
        <v>Single Panel Balcony Door</v>
      </c>
      <c r="H248" s="106">
        <v>0</v>
      </c>
      <c r="I248" s="107" t="str">
        <f>$D$16</f>
        <v>EA</v>
      </c>
      <c r="J248" s="107">
        <f t="shared" si="38"/>
        <v>0</v>
      </c>
      <c r="L248" s="105" t="str">
        <f>$B$16</f>
        <v>Single Panel Balcony Door</v>
      </c>
      <c r="M248" s="106">
        <v>0</v>
      </c>
      <c r="N248" s="107" t="str">
        <f>$D$16</f>
        <v>EA</v>
      </c>
      <c r="O248" s="107">
        <f t="shared" si="39"/>
        <v>0</v>
      </c>
      <c r="Q248" s="105" t="str">
        <f>$B$16</f>
        <v>Single Panel Balcony Door</v>
      </c>
      <c r="R248" s="106">
        <v>0</v>
      </c>
      <c r="S248" s="107" t="str">
        <f>$D$16</f>
        <v>EA</v>
      </c>
      <c r="T248" s="107">
        <f t="shared" si="40"/>
        <v>0</v>
      </c>
      <c r="V248" s="105" t="str">
        <f>$B$16</f>
        <v>Single Panel Balcony Door</v>
      </c>
      <c r="W248" s="106">
        <v>0</v>
      </c>
      <c r="X248" s="107" t="str">
        <f>$D$16</f>
        <v>EA</v>
      </c>
      <c r="Y248" s="107">
        <f t="shared" si="41"/>
        <v>0</v>
      </c>
      <c r="AA248" s="105" t="str">
        <f>$B$16</f>
        <v>Single Panel Balcony Door</v>
      </c>
      <c r="AB248" s="106">
        <v>0</v>
      </c>
      <c r="AC248" s="107" t="str">
        <f>$D$16</f>
        <v>EA</v>
      </c>
      <c r="AD248" s="107">
        <f t="shared" si="42"/>
        <v>0</v>
      </c>
    </row>
    <row r="249" spans="1:97" s="72" customFormat="1">
      <c r="B249" s="105" t="str">
        <f>$B$18</f>
        <v>Single Panel Entry Door</v>
      </c>
      <c r="C249" s="106">
        <f t="shared" si="37"/>
        <v>88</v>
      </c>
      <c r="D249" s="107" t="str">
        <f>$D$18</f>
        <v>EA</v>
      </c>
      <c r="G249" s="105" t="str">
        <f>$B$18</f>
        <v>Single Panel Entry Door</v>
      </c>
      <c r="H249" s="106">
        <v>1</v>
      </c>
      <c r="I249" s="107" t="str">
        <f>$D$18</f>
        <v>EA</v>
      </c>
      <c r="J249" s="107">
        <f t="shared" si="38"/>
        <v>16</v>
      </c>
      <c r="L249" s="105" t="str">
        <f>$B$18</f>
        <v>Single Panel Entry Door</v>
      </c>
      <c r="M249" s="106">
        <v>1</v>
      </c>
      <c r="N249" s="107" t="str">
        <f>$D$18</f>
        <v>EA</v>
      </c>
      <c r="O249" s="107">
        <f t="shared" si="39"/>
        <v>18</v>
      </c>
      <c r="Q249" s="105" t="str">
        <f>$B$18</f>
        <v>Single Panel Entry Door</v>
      </c>
      <c r="R249" s="106">
        <v>1</v>
      </c>
      <c r="S249" s="107" t="str">
        <f>$D$18</f>
        <v>EA</v>
      </c>
      <c r="T249" s="107">
        <f t="shared" si="40"/>
        <v>18</v>
      </c>
      <c r="V249" s="105" t="str">
        <f>$B$18</f>
        <v>Single Panel Entry Door</v>
      </c>
      <c r="W249" s="106">
        <v>1</v>
      </c>
      <c r="X249" s="107" t="str">
        <f>$D$18</f>
        <v>EA</v>
      </c>
      <c r="Y249" s="107">
        <f t="shared" si="41"/>
        <v>18</v>
      </c>
      <c r="AA249" s="105" t="str">
        <f>$B$18</f>
        <v>Single Panel Entry Door</v>
      </c>
      <c r="AB249" s="106">
        <v>1</v>
      </c>
      <c r="AC249" s="107" t="str">
        <f>$D$18</f>
        <v>EA</v>
      </c>
      <c r="AD249" s="107">
        <f t="shared" si="42"/>
        <v>18</v>
      </c>
      <c r="CI249" s="76"/>
      <c r="CJ249" s="76"/>
      <c r="CK249" s="76"/>
      <c r="CL249" s="76"/>
      <c r="CM249" s="76"/>
      <c r="CN249" s="76"/>
      <c r="CO249" s="76"/>
      <c r="CP249" s="76"/>
      <c r="CQ249" s="76"/>
      <c r="CR249" s="76"/>
      <c r="CS249" s="76"/>
    </row>
    <row r="250" spans="1:97" s="72" customFormat="1">
      <c r="B250" s="105" t="str">
        <f>$B$20</f>
        <v>Single Panel Interior Door</v>
      </c>
      <c r="C250" s="106">
        <f t="shared" si="37"/>
        <v>88</v>
      </c>
      <c r="D250" s="107" t="str">
        <f>$D$20</f>
        <v>EA</v>
      </c>
      <c r="G250" s="105" t="str">
        <f>$B$20</f>
        <v>Single Panel Interior Door</v>
      </c>
      <c r="H250" s="106">
        <v>1</v>
      </c>
      <c r="I250" s="107" t="str">
        <f>$D$20</f>
        <v>EA</v>
      </c>
      <c r="J250" s="107">
        <f t="shared" si="38"/>
        <v>16</v>
      </c>
      <c r="L250" s="105" t="str">
        <f>$B$20</f>
        <v>Single Panel Interior Door</v>
      </c>
      <c r="M250" s="106">
        <v>1</v>
      </c>
      <c r="N250" s="107" t="str">
        <f>$D$20</f>
        <v>EA</v>
      </c>
      <c r="O250" s="107">
        <f t="shared" si="39"/>
        <v>18</v>
      </c>
      <c r="Q250" s="105" t="str">
        <f>$B$20</f>
        <v>Single Panel Interior Door</v>
      </c>
      <c r="R250" s="106">
        <v>1</v>
      </c>
      <c r="S250" s="107" t="str">
        <f>$D$20</f>
        <v>EA</v>
      </c>
      <c r="T250" s="107">
        <f t="shared" si="40"/>
        <v>18</v>
      </c>
      <c r="V250" s="105" t="str">
        <f>$B$20</f>
        <v>Single Panel Interior Door</v>
      </c>
      <c r="W250" s="106">
        <v>1</v>
      </c>
      <c r="X250" s="107" t="str">
        <f>$D$20</f>
        <v>EA</v>
      </c>
      <c r="Y250" s="107">
        <f t="shared" si="41"/>
        <v>18</v>
      </c>
      <c r="AA250" s="105" t="str">
        <f>$B$20</f>
        <v>Single Panel Interior Door</v>
      </c>
      <c r="AB250" s="106">
        <v>1</v>
      </c>
      <c r="AC250" s="107" t="str">
        <f>$D$20</f>
        <v>EA</v>
      </c>
      <c r="AD250" s="107">
        <f t="shared" si="42"/>
        <v>18</v>
      </c>
      <c r="CI250" s="76"/>
      <c r="CJ250" s="76"/>
      <c r="CK250" s="76"/>
      <c r="CL250" s="76"/>
      <c r="CM250" s="76"/>
      <c r="CN250" s="76"/>
      <c r="CO250" s="76"/>
      <c r="CP250" s="76"/>
      <c r="CQ250" s="76"/>
      <c r="CR250" s="76"/>
      <c r="CS250" s="76"/>
    </row>
    <row r="251" spans="1:97" s="72" customFormat="1">
      <c r="B251" s="105" t="str">
        <f>$B$25</f>
        <v>Skim Coat Gypsum Plaster Ceiling</v>
      </c>
      <c r="C251" s="106">
        <f t="shared" si="37"/>
        <v>29392</v>
      </c>
      <c r="D251" s="107" t="str">
        <f>$D$25</f>
        <v>SF</v>
      </c>
      <c r="G251" s="105" t="str">
        <f>$B$25</f>
        <v>Skim Coat Gypsum Plaster Ceiling</v>
      </c>
      <c r="H251" s="106">
        <v>334</v>
      </c>
      <c r="I251" s="107" t="str">
        <f>$D$25</f>
        <v>SF</v>
      </c>
      <c r="J251" s="107">
        <f t="shared" si="38"/>
        <v>5344</v>
      </c>
      <c r="L251" s="105" t="str">
        <f>$B$25</f>
        <v>Skim Coat Gypsum Plaster Ceiling</v>
      </c>
      <c r="M251" s="106">
        <v>334</v>
      </c>
      <c r="N251" s="107" t="str">
        <f>$D$25</f>
        <v>SF</v>
      </c>
      <c r="O251" s="107">
        <f t="shared" si="39"/>
        <v>6012</v>
      </c>
      <c r="Q251" s="105" t="str">
        <f>$B$25</f>
        <v>Skim Coat Gypsum Plaster Ceiling</v>
      </c>
      <c r="R251" s="106">
        <v>334</v>
      </c>
      <c r="S251" s="107" t="str">
        <f>$D$25</f>
        <v>SF</v>
      </c>
      <c r="T251" s="107">
        <f t="shared" si="40"/>
        <v>6012</v>
      </c>
      <c r="V251" s="105" t="str">
        <f>$B$25</f>
        <v>Skim Coat Gypsum Plaster Ceiling</v>
      </c>
      <c r="W251" s="106">
        <v>334</v>
      </c>
      <c r="X251" s="107" t="str">
        <f>$D$25</f>
        <v>SF</v>
      </c>
      <c r="Y251" s="107">
        <f t="shared" si="41"/>
        <v>6012</v>
      </c>
      <c r="AA251" s="105" t="str">
        <f>$B$25</f>
        <v>Skim Coat Gypsum Plaster Ceiling</v>
      </c>
      <c r="AB251" s="106">
        <v>334</v>
      </c>
      <c r="AC251" s="107" t="str">
        <f>$D$25</f>
        <v>SF</v>
      </c>
      <c r="AD251" s="107">
        <f t="shared" si="42"/>
        <v>6012</v>
      </c>
      <c r="CI251" s="76"/>
      <c r="CJ251" s="76"/>
      <c r="CK251" s="76"/>
      <c r="CL251" s="76"/>
      <c r="CM251" s="76"/>
      <c r="CN251" s="76"/>
      <c r="CO251" s="76"/>
      <c r="CP251" s="76"/>
      <c r="CQ251" s="76"/>
      <c r="CR251" s="76"/>
      <c r="CS251" s="76"/>
    </row>
    <row r="252" spans="1:97" s="72" customFormat="1">
      <c r="B252" s="105" t="str">
        <f>$B$29</f>
        <v>Floor Finish @ Bathroom</v>
      </c>
      <c r="C252" s="106">
        <f t="shared" si="37"/>
        <v>10648</v>
      </c>
      <c r="D252" s="107" t="str">
        <f>$D$29</f>
        <v>SF</v>
      </c>
      <c r="G252" s="105" t="str">
        <f>$B$29</f>
        <v>Floor Finish @ Bathroom</v>
      </c>
      <c r="H252" s="106">
        <v>121</v>
      </c>
      <c r="I252" s="107" t="str">
        <f>$D$29</f>
        <v>SF</v>
      </c>
      <c r="J252" s="107">
        <f t="shared" si="38"/>
        <v>1936</v>
      </c>
      <c r="L252" s="105" t="str">
        <f>$B$29</f>
        <v>Floor Finish @ Bathroom</v>
      </c>
      <c r="M252" s="106">
        <v>121</v>
      </c>
      <c r="N252" s="107" t="str">
        <f>$D$29</f>
        <v>SF</v>
      </c>
      <c r="O252" s="107">
        <f t="shared" si="39"/>
        <v>2178</v>
      </c>
      <c r="Q252" s="105" t="str">
        <f>$B$29</f>
        <v>Floor Finish @ Bathroom</v>
      </c>
      <c r="R252" s="106">
        <v>121</v>
      </c>
      <c r="S252" s="107" t="str">
        <f>$D$29</f>
        <v>SF</v>
      </c>
      <c r="T252" s="107">
        <f t="shared" si="40"/>
        <v>2178</v>
      </c>
      <c r="V252" s="105" t="str">
        <f>$B$29</f>
        <v>Floor Finish @ Bathroom</v>
      </c>
      <c r="W252" s="106">
        <v>121</v>
      </c>
      <c r="X252" s="107" t="str">
        <f>$D$29</f>
        <v>SF</v>
      </c>
      <c r="Y252" s="107">
        <f t="shared" si="41"/>
        <v>2178</v>
      </c>
      <c r="AA252" s="105" t="str">
        <f>$B$29</f>
        <v>Floor Finish @ Bathroom</v>
      </c>
      <c r="AB252" s="106">
        <v>121</v>
      </c>
      <c r="AC252" s="107" t="str">
        <f>$D$29</f>
        <v>SF</v>
      </c>
      <c r="AD252" s="107">
        <f t="shared" si="42"/>
        <v>2178</v>
      </c>
      <c r="CI252" s="76"/>
      <c r="CJ252" s="76"/>
      <c r="CK252" s="76"/>
      <c r="CL252" s="76"/>
      <c r="CM252" s="76"/>
      <c r="CN252" s="76"/>
      <c r="CO252" s="76"/>
      <c r="CP252" s="76"/>
      <c r="CQ252" s="76"/>
      <c r="CR252" s="76"/>
      <c r="CS252" s="76"/>
    </row>
    <row r="253" spans="1:97" s="72" customFormat="1">
      <c r="B253" s="105" t="str">
        <f>$B$31</f>
        <v>Floor Finish @ Bedroom</v>
      </c>
      <c r="C253" s="106">
        <f t="shared" si="37"/>
        <v>17336</v>
      </c>
      <c r="D253" s="107" t="str">
        <f>$D$31</f>
        <v>SF</v>
      </c>
      <c r="G253" s="105" t="str">
        <f>$B$31</f>
        <v>Floor Finish @ Bedroom</v>
      </c>
      <c r="H253" s="106">
        <v>197</v>
      </c>
      <c r="I253" s="107" t="str">
        <f>$D$31</f>
        <v>SF</v>
      </c>
      <c r="J253" s="107">
        <f t="shared" si="38"/>
        <v>3152</v>
      </c>
      <c r="L253" s="105" t="str">
        <f>$B$31</f>
        <v>Floor Finish @ Bedroom</v>
      </c>
      <c r="M253" s="106">
        <v>197</v>
      </c>
      <c r="N253" s="107" t="str">
        <f>$D$31</f>
        <v>SF</v>
      </c>
      <c r="O253" s="107">
        <f t="shared" si="39"/>
        <v>3546</v>
      </c>
      <c r="Q253" s="105" t="str">
        <f>$B$31</f>
        <v>Floor Finish @ Bedroom</v>
      </c>
      <c r="R253" s="106">
        <v>197</v>
      </c>
      <c r="S253" s="107" t="str">
        <f>$D$31</f>
        <v>SF</v>
      </c>
      <c r="T253" s="107">
        <f t="shared" si="40"/>
        <v>3546</v>
      </c>
      <c r="V253" s="105" t="str">
        <f>$B$31</f>
        <v>Floor Finish @ Bedroom</v>
      </c>
      <c r="W253" s="106">
        <v>197</v>
      </c>
      <c r="X253" s="107" t="str">
        <f>$D$31</f>
        <v>SF</v>
      </c>
      <c r="Y253" s="107">
        <f t="shared" si="41"/>
        <v>3546</v>
      </c>
      <c r="AA253" s="105" t="str">
        <f>$B$31</f>
        <v>Floor Finish @ Bedroom</v>
      </c>
      <c r="AB253" s="106">
        <v>197</v>
      </c>
      <c r="AC253" s="107" t="str">
        <f>$D$31</f>
        <v>SF</v>
      </c>
      <c r="AD253" s="107">
        <f t="shared" si="42"/>
        <v>3546</v>
      </c>
      <c r="CI253" s="76"/>
      <c r="CJ253" s="76"/>
      <c r="CK253" s="76"/>
      <c r="CL253" s="76"/>
      <c r="CM253" s="76"/>
      <c r="CN253" s="76"/>
      <c r="CO253" s="76"/>
      <c r="CP253" s="76"/>
      <c r="CQ253" s="76"/>
      <c r="CR253" s="76"/>
      <c r="CS253" s="76"/>
    </row>
    <row r="254" spans="1:97" s="72" customFormat="1">
      <c r="B254" s="105" t="str">
        <f>$B$33</f>
        <v>Floor Finish @ Closet</v>
      </c>
      <c r="C254" s="106">
        <f t="shared" si="37"/>
        <v>880</v>
      </c>
      <c r="D254" s="107" t="str">
        <f>$D$33</f>
        <v>SF</v>
      </c>
      <c r="G254" s="105" t="str">
        <f>$B$33</f>
        <v>Floor Finish @ Closet</v>
      </c>
      <c r="H254" s="106">
        <v>10</v>
      </c>
      <c r="I254" s="107" t="str">
        <f>$D$33</f>
        <v>SF</v>
      </c>
      <c r="J254" s="107">
        <f t="shared" si="38"/>
        <v>160</v>
      </c>
      <c r="L254" s="105" t="str">
        <f>$B$33</f>
        <v>Floor Finish @ Closet</v>
      </c>
      <c r="M254" s="106">
        <v>10</v>
      </c>
      <c r="N254" s="107" t="str">
        <f>$D$33</f>
        <v>SF</v>
      </c>
      <c r="O254" s="107">
        <f t="shared" si="39"/>
        <v>180</v>
      </c>
      <c r="Q254" s="105" t="str">
        <f>$B$33</f>
        <v>Floor Finish @ Closet</v>
      </c>
      <c r="R254" s="106">
        <v>10</v>
      </c>
      <c r="S254" s="107" t="str">
        <f>$D$33</f>
        <v>SF</v>
      </c>
      <c r="T254" s="107">
        <f t="shared" si="40"/>
        <v>180</v>
      </c>
      <c r="V254" s="105" t="str">
        <f>$B$33</f>
        <v>Floor Finish @ Closet</v>
      </c>
      <c r="W254" s="106">
        <v>10</v>
      </c>
      <c r="X254" s="107" t="str">
        <f>$D$33</f>
        <v>SF</v>
      </c>
      <c r="Y254" s="107">
        <f t="shared" si="41"/>
        <v>180</v>
      </c>
      <c r="AA254" s="105" t="str">
        <f>$B$33</f>
        <v>Floor Finish @ Closet</v>
      </c>
      <c r="AB254" s="106">
        <v>10</v>
      </c>
      <c r="AC254" s="107" t="str">
        <f>$D$33</f>
        <v>SF</v>
      </c>
      <c r="AD254" s="107">
        <f t="shared" si="42"/>
        <v>180</v>
      </c>
      <c r="CI254" s="76"/>
      <c r="CJ254" s="76"/>
      <c r="CK254" s="76"/>
      <c r="CL254" s="76"/>
      <c r="CM254" s="76"/>
      <c r="CN254" s="76"/>
      <c r="CO254" s="76"/>
      <c r="CP254" s="76"/>
      <c r="CQ254" s="76"/>
      <c r="CR254" s="76"/>
      <c r="CS254" s="76"/>
    </row>
    <row r="255" spans="1:97" s="72" customFormat="1">
      <c r="B255" s="105" t="str">
        <f>$B$35</f>
        <v>Floor Finish @ Hall</v>
      </c>
      <c r="C255" s="106">
        <f t="shared" si="37"/>
        <v>0</v>
      </c>
      <c r="D255" s="107" t="str">
        <f>$D$35</f>
        <v>SF</v>
      </c>
      <c r="G255" s="105" t="str">
        <f>$B$35</f>
        <v>Floor Finish @ Hall</v>
      </c>
      <c r="H255" s="106">
        <v>0</v>
      </c>
      <c r="I255" s="107" t="str">
        <f>$D$35</f>
        <v>SF</v>
      </c>
      <c r="J255" s="107">
        <f t="shared" si="38"/>
        <v>0</v>
      </c>
      <c r="L255" s="105" t="str">
        <f>$B$35</f>
        <v>Floor Finish @ Hall</v>
      </c>
      <c r="M255" s="106">
        <v>0</v>
      </c>
      <c r="N255" s="107" t="str">
        <f>$D$35</f>
        <v>SF</v>
      </c>
      <c r="O255" s="107">
        <f t="shared" si="39"/>
        <v>0</v>
      </c>
      <c r="Q255" s="105" t="str">
        <f>$B$35</f>
        <v>Floor Finish @ Hall</v>
      </c>
      <c r="R255" s="106">
        <v>0</v>
      </c>
      <c r="S255" s="107" t="str">
        <f>$D$35</f>
        <v>SF</v>
      </c>
      <c r="T255" s="107">
        <f t="shared" si="40"/>
        <v>0</v>
      </c>
      <c r="V255" s="105" t="str">
        <f>$B$35</f>
        <v>Floor Finish @ Hall</v>
      </c>
      <c r="W255" s="106">
        <v>0</v>
      </c>
      <c r="X255" s="107" t="str">
        <f>$D$35</f>
        <v>SF</v>
      </c>
      <c r="Y255" s="107">
        <f t="shared" si="41"/>
        <v>0</v>
      </c>
      <c r="AA255" s="105" t="str">
        <f>$B$35</f>
        <v>Floor Finish @ Hall</v>
      </c>
      <c r="AB255" s="106">
        <v>0</v>
      </c>
      <c r="AC255" s="107" t="str">
        <f>$D$35</f>
        <v>SF</v>
      </c>
      <c r="AD255" s="107">
        <f t="shared" si="42"/>
        <v>0</v>
      </c>
      <c r="CI255" s="76"/>
      <c r="CJ255" s="76"/>
      <c r="CK255" s="76"/>
      <c r="CL255" s="76"/>
      <c r="CM255" s="76"/>
      <c r="CN255" s="76"/>
      <c r="CO255" s="76"/>
      <c r="CP255" s="76"/>
      <c r="CQ255" s="76"/>
      <c r="CR255" s="76"/>
      <c r="CS255" s="76"/>
    </row>
    <row r="256" spans="1:97" s="72" customFormat="1">
      <c r="B256" s="105" t="str">
        <f>$B$37</f>
        <v>Floor Finish @ Shower</v>
      </c>
      <c r="C256" s="106">
        <f t="shared" si="37"/>
        <v>1232</v>
      </c>
      <c r="D256" s="107" t="str">
        <f>$D$37</f>
        <v>SF</v>
      </c>
      <c r="G256" s="105" t="str">
        <f>$B$37</f>
        <v>Floor Finish @ Shower</v>
      </c>
      <c r="H256" s="106">
        <v>14</v>
      </c>
      <c r="I256" s="107" t="str">
        <f>$D$37</f>
        <v>SF</v>
      </c>
      <c r="J256" s="107">
        <f t="shared" si="38"/>
        <v>224</v>
      </c>
      <c r="L256" s="105" t="str">
        <f>$B$37</f>
        <v>Floor Finish @ Shower</v>
      </c>
      <c r="M256" s="106">
        <v>14</v>
      </c>
      <c r="N256" s="107" t="str">
        <f>$D$37</f>
        <v>SF</v>
      </c>
      <c r="O256" s="107">
        <f t="shared" si="39"/>
        <v>252</v>
      </c>
      <c r="Q256" s="105" t="str">
        <f>$B$37</f>
        <v>Floor Finish @ Shower</v>
      </c>
      <c r="R256" s="106">
        <v>14</v>
      </c>
      <c r="S256" s="107" t="str">
        <f>$D$37</f>
        <v>SF</v>
      </c>
      <c r="T256" s="107">
        <f t="shared" si="40"/>
        <v>252</v>
      </c>
      <c r="V256" s="105" t="str">
        <f>$B$37</f>
        <v>Floor Finish @ Shower</v>
      </c>
      <c r="W256" s="106">
        <v>14</v>
      </c>
      <c r="X256" s="107" t="str">
        <f>$D$37</f>
        <v>SF</v>
      </c>
      <c r="Y256" s="107">
        <f t="shared" si="41"/>
        <v>252</v>
      </c>
      <c r="AA256" s="105" t="str">
        <f>$B$37</f>
        <v>Floor Finish @ Shower</v>
      </c>
      <c r="AB256" s="106">
        <v>14</v>
      </c>
      <c r="AC256" s="107" t="str">
        <f>$D$37</f>
        <v>SF</v>
      </c>
      <c r="AD256" s="107">
        <f t="shared" si="42"/>
        <v>252</v>
      </c>
      <c r="CI256" s="76"/>
      <c r="CJ256" s="76"/>
      <c r="CK256" s="76"/>
      <c r="CL256" s="76"/>
      <c r="CM256" s="76"/>
      <c r="CN256" s="76"/>
      <c r="CO256" s="76"/>
      <c r="CP256" s="76"/>
      <c r="CQ256" s="76"/>
      <c r="CR256" s="76"/>
      <c r="CS256" s="76"/>
    </row>
    <row r="257" spans="2:97" s="72" customFormat="1">
      <c r="B257" s="105" t="str">
        <f>$B$41</f>
        <v>Wall Base</v>
      </c>
      <c r="C257" s="106">
        <f t="shared" si="37"/>
        <v>9274</v>
      </c>
      <c r="D257" s="107" t="str">
        <f>$D$41</f>
        <v>LF</v>
      </c>
      <c r="G257" s="105" t="str">
        <f>$B$41</f>
        <v>Wall Base</v>
      </c>
      <c r="H257" s="106">
        <v>105.34</v>
      </c>
      <c r="I257" s="107" t="str">
        <f>$D$41</f>
        <v>LF</v>
      </c>
      <c r="J257" s="107">
        <f t="shared" si="38"/>
        <v>1686</v>
      </c>
      <c r="L257" s="105" t="str">
        <f>$B$41</f>
        <v>Wall Base</v>
      </c>
      <c r="M257" s="106">
        <v>105.34</v>
      </c>
      <c r="N257" s="107" t="str">
        <f>$D$41</f>
        <v>LF</v>
      </c>
      <c r="O257" s="107">
        <f t="shared" si="39"/>
        <v>1897</v>
      </c>
      <c r="Q257" s="105" t="str">
        <f>$B$41</f>
        <v>Wall Base</v>
      </c>
      <c r="R257" s="106">
        <v>105.34</v>
      </c>
      <c r="S257" s="107" t="str">
        <f>$D$41</f>
        <v>LF</v>
      </c>
      <c r="T257" s="107">
        <f t="shared" si="40"/>
        <v>1897</v>
      </c>
      <c r="V257" s="105" t="str">
        <f>$B$41</f>
        <v>Wall Base</v>
      </c>
      <c r="W257" s="106">
        <v>105.34</v>
      </c>
      <c r="X257" s="107" t="str">
        <f>$D$41</f>
        <v>LF</v>
      </c>
      <c r="Y257" s="107">
        <f t="shared" si="41"/>
        <v>1897</v>
      </c>
      <c r="AA257" s="105" t="str">
        <f>$B$41</f>
        <v>Wall Base</v>
      </c>
      <c r="AB257" s="106">
        <v>105.34</v>
      </c>
      <c r="AC257" s="107" t="str">
        <f>$D$41</f>
        <v>LF</v>
      </c>
      <c r="AD257" s="107">
        <f t="shared" si="42"/>
        <v>1897</v>
      </c>
      <c r="CI257" s="76"/>
      <c r="CJ257" s="76"/>
      <c r="CK257" s="76"/>
      <c r="CL257" s="76"/>
      <c r="CM257" s="76"/>
      <c r="CN257" s="76"/>
      <c r="CO257" s="76"/>
      <c r="CP257" s="76"/>
      <c r="CQ257" s="76"/>
      <c r="CR257" s="76"/>
      <c r="CS257" s="76"/>
    </row>
    <row r="258" spans="2:97" s="72" customFormat="1">
      <c r="B258" s="105" t="str">
        <f>$B$45</f>
        <v>Wall Tile @ Bathroom @ Ht. 9'0" (Assumed)</v>
      </c>
      <c r="C258" s="106">
        <f t="shared" si="37"/>
        <v>987</v>
      </c>
      <c r="D258" s="107" t="str">
        <f>$D$45</f>
        <v>LF</v>
      </c>
      <c r="G258" s="105" t="str">
        <f>$B$45</f>
        <v>Wall Tile @ Bathroom @ Ht. 9'0" (Assumed)</v>
      </c>
      <c r="H258" s="106">
        <v>11.18</v>
      </c>
      <c r="I258" s="107" t="str">
        <f>$D$45</f>
        <v>LF</v>
      </c>
      <c r="J258" s="107">
        <f t="shared" si="38"/>
        <v>179</v>
      </c>
      <c r="L258" s="105" t="str">
        <f>$B$45</f>
        <v>Wall Tile @ Bathroom @ Ht. 9'0" (Assumed)</v>
      </c>
      <c r="M258" s="106">
        <v>11.18</v>
      </c>
      <c r="N258" s="107" t="str">
        <f>$D$45</f>
        <v>LF</v>
      </c>
      <c r="O258" s="107">
        <f t="shared" si="39"/>
        <v>202</v>
      </c>
      <c r="Q258" s="105" t="str">
        <f>$B$45</f>
        <v>Wall Tile @ Bathroom @ Ht. 9'0" (Assumed)</v>
      </c>
      <c r="R258" s="106">
        <v>11.18</v>
      </c>
      <c r="S258" s="107" t="str">
        <f>$D$45</f>
        <v>LF</v>
      </c>
      <c r="T258" s="107">
        <f t="shared" si="40"/>
        <v>202</v>
      </c>
      <c r="V258" s="105" t="str">
        <f>$B$45</f>
        <v>Wall Tile @ Bathroom @ Ht. 9'0" (Assumed)</v>
      </c>
      <c r="W258" s="106">
        <v>11.18</v>
      </c>
      <c r="X258" s="107" t="str">
        <f>$D$45</f>
        <v>LF</v>
      </c>
      <c r="Y258" s="107">
        <f t="shared" si="41"/>
        <v>202</v>
      </c>
      <c r="AA258" s="105" t="str">
        <f>$B$45</f>
        <v>Wall Tile @ Bathroom @ Ht. 9'0" (Assumed)</v>
      </c>
      <c r="AB258" s="106">
        <v>11.18</v>
      </c>
      <c r="AC258" s="107" t="str">
        <f>$D$45</f>
        <v>LF</v>
      </c>
      <c r="AD258" s="107">
        <f t="shared" si="42"/>
        <v>202</v>
      </c>
      <c r="CI258" s="76"/>
      <c r="CJ258" s="76"/>
      <c r="CK258" s="76"/>
      <c r="CL258" s="76"/>
      <c r="CM258" s="76"/>
      <c r="CN258" s="76"/>
      <c r="CO258" s="76"/>
      <c r="CP258" s="76"/>
      <c r="CQ258" s="76"/>
      <c r="CR258" s="76"/>
      <c r="CS258" s="76"/>
    </row>
    <row r="259" spans="2:97" s="72" customFormat="1">
      <c r="B259" s="105" t="str">
        <f>$B$50</f>
        <v>Shower Enclosure Door W/ Partition</v>
      </c>
      <c r="C259" s="106">
        <f t="shared" si="37"/>
        <v>88</v>
      </c>
      <c r="D259" s="107" t="str">
        <f>$D$50</f>
        <v>EA</v>
      </c>
      <c r="G259" s="105" t="str">
        <f>$B$50</f>
        <v>Shower Enclosure Door W/ Partition</v>
      </c>
      <c r="H259" s="106">
        <v>1</v>
      </c>
      <c r="I259" s="107" t="str">
        <f>$D$50</f>
        <v>EA</v>
      </c>
      <c r="J259" s="107">
        <f t="shared" si="38"/>
        <v>16</v>
      </c>
      <c r="L259" s="105" t="str">
        <f>$B$50</f>
        <v>Shower Enclosure Door W/ Partition</v>
      </c>
      <c r="M259" s="106">
        <v>1</v>
      </c>
      <c r="N259" s="107" t="str">
        <f>$D$50</f>
        <v>EA</v>
      </c>
      <c r="O259" s="107">
        <f t="shared" si="39"/>
        <v>18</v>
      </c>
      <c r="Q259" s="105" t="str">
        <f>$B$50</f>
        <v>Shower Enclosure Door W/ Partition</v>
      </c>
      <c r="R259" s="106">
        <v>1</v>
      </c>
      <c r="S259" s="107" t="str">
        <f>$D$50</f>
        <v>EA</v>
      </c>
      <c r="T259" s="107">
        <f t="shared" si="40"/>
        <v>18</v>
      </c>
      <c r="V259" s="105" t="str">
        <f>$B$50</f>
        <v>Shower Enclosure Door W/ Partition</v>
      </c>
      <c r="W259" s="106">
        <v>1</v>
      </c>
      <c r="X259" s="107" t="str">
        <f>$D$50</f>
        <v>EA</v>
      </c>
      <c r="Y259" s="107">
        <f t="shared" si="41"/>
        <v>18</v>
      </c>
      <c r="AA259" s="105" t="str">
        <f>$B$50</f>
        <v>Shower Enclosure Door W/ Partition</v>
      </c>
      <c r="AB259" s="106">
        <v>1</v>
      </c>
      <c r="AC259" s="107" t="str">
        <f>$D$50</f>
        <v>EA</v>
      </c>
      <c r="AD259" s="107">
        <f t="shared" si="42"/>
        <v>18</v>
      </c>
      <c r="CI259" s="76"/>
      <c r="CJ259" s="76"/>
      <c r="CK259" s="76"/>
      <c r="CL259" s="76"/>
      <c r="CM259" s="76"/>
      <c r="CN259" s="76"/>
      <c r="CO259" s="76"/>
      <c r="CP259" s="76"/>
      <c r="CQ259" s="76"/>
      <c r="CR259" s="76"/>
      <c r="CS259" s="76"/>
    </row>
    <row r="260" spans="2:97" s="72" customFormat="1">
      <c r="B260" s="105" t="str">
        <f>$B$52</f>
        <v>Lavatory</v>
      </c>
      <c r="C260" s="106">
        <f t="shared" si="37"/>
        <v>88</v>
      </c>
      <c r="D260" s="107" t="str">
        <f>$D$52</f>
        <v>EA</v>
      </c>
      <c r="G260" s="105" t="str">
        <f>$B$52</f>
        <v>Lavatory</v>
      </c>
      <c r="H260" s="106">
        <v>1</v>
      </c>
      <c r="I260" s="107" t="str">
        <f>$D$52</f>
        <v>EA</v>
      </c>
      <c r="J260" s="107">
        <f t="shared" si="38"/>
        <v>16</v>
      </c>
      <c r="L260" s="105" t="str">
        <f>$B$52</f>
        <v>Lavatory</v>
      </c>
      <c r="M260" s="106">
        <v>1</v>
      </c>
      <c r="N260" s="107" t="str">
        <f>$D$52</f>
        <v>EA</v>
      </c>
      <c r="O260" s="107">
        <f t="shared" si="39"/>
        <v>18</v>
      </c>
      <c r="Q260" s="105" t="str">
        <f>$B$52</f>
        <v>Lavatory</v>
      </c>
      <c r="R260" s="106">
        <v>1</v>
      </c>
      <c r="S260" s="107" t="str">
        <f>$D$52</f>
        <v>EA</v>
      </c>
      <c r="T260" s="107">
        <f t="shared" si="40"/>
        <v>18</v>
      </c>
      <c r="V260" s="105" t="str">
        <f>$B$52</f>
        <v>Lavatory</v>
      </c>
      <c r="W260" s="106">
        <v>1</v>
      </c>
      <c r="X260" s="107" t="str">
        <f>$D$52</f>
        <v>EA</v>
      </c>
      <c r="Y260" s="107">
        <f t="shared" si="41"/>
        <v>18</v>
      </c>
      <c r="AA260" s="105" t="str">
        <f>$B$52</f>
        <v>Lavatory</v>
      </c>
      <c r="AB260" s="106">
        <v>1</v>
      </c>
      <c r="AC260" s="107" t="str">
        <f>$D$52</f>
        <v>EA</v>
      </c>
      <c r="AD260" s="107">
        <f t="shared" si="42"/>
        <v>18</v>
      </c>
      <c r="CI260" s="76"/>
      <c r="CJ260" s="76"/>
      <c r="CK260" s="76"/>
      <c r="CL260" s="76"/>
      <c r="CM260" s="76"/>
      <c r="CN260" s="76"/>
      <c r="CO260" s="76"/>
      <c r="CP260" s="76"/>
      <c r="CQ260" s="76"/>
      <c r="CR260" s="76"/>
      <c r="CS260" s="76"/>
    </row>
    <row r="261" spans="2:97" s="72" customFormat="1">
      <c r="B261" s="105" t="str">
        <f>$B$54</f>
        <v>Shower</v>
      </c>
      <c r="C261" s="106">
        <f t="shared" si="37"/>
        <v>88</v>
      </c>
      <c r="D261" s="107" t="str">
        <f>$D$54</f>
        <v>EA</v>
      </c>
      <c r="G261" s="105" t="str">
        <f>$B$54</f>
        <v>Shower</v>
      </c>
      <c r="H261" s="106">
        <v>1</v>
      </c>
      <c r="I261" s="107" t="str">
        <f>$D$54</f>
        <v>EA</v>
      </c>
      <c r="J261" s="107">
        <f t="shared" si="38"/>
        <v>16</v>
      </c>
      <c r="L261" s="105" t="str">
        <f>$B$54</f>
        <v>Shower</v>
      </c>
      <c r="M261" s="106">
        <v>1</v>
      </c>
      <c r="N261" s="107" t="str">
        <f>$D$54</f>
        <v>EA</v>
      </c>
      <c r="O261" s="107">
        <f t="shared" si="39"/>
        <v>18</v>
      </c>
      <c r="Q261" s="105" t="str">
        <f>$B$54</f>
        <v>Shower</v>
      </c>
      <c r="R261" s="106">
        <v>1</v>
      </c>
      <c r="S261" s="107" t="str">
        <f>$D$54</f>
        <v>EA</v>
      </c>
      <c r="T261" s="107">
        <f t="shared" si="40"/>
        <v>18</v>
      </c>
      <c r="V261" s="105" t="str">
        <f>$B$54</f>
        <v>Shower</v>
      </c>
      <c r="W261" s="106">
        <v>1</v>
      </c>
      <c r="X261" s="107" t="str">
        <f>$D$54</f>
        <v>EA</v>
      </c>
      <c r="Y261" s="107">
        <f t="shared" si="41"/>
        <v>18</v>
      </c>
      <c r="AA261" s="105" t="str">
        <f>$B$54</f>
        <v>Shower</v>
      </c>
      <c r="AB261" s="106">
        <v>1</v>
      </c>
      <c r="AC261" s="107" t="str">
        <f>$D$54</f>
        <v>EA</v>
      </c>
      <c r="AD261" s="107">
        <f t="shared" si="42"/>
        <v>18</v>
      </c>
      <c r="CI261" s="76"/>
      <c r="CJ261" s="76"/>
      <c r="CK261" s="76"/>
      <c r="CL261" s="76"/>
      <c r="CM261" s="76"/>
      <c r="CN261" s="76"/>
      <c r="CO261" s="76"/>
      <c r="CP261" s="76"/>
      <c r="CQ261" s="76"/>
      <c r="CR261" s="76"/>
      <c r="CS261" s="76"/>
    </row>
    <row r="262" spans="2:97" s="72" customFormat="1">
      <c r="B262" s="105" t="str">
        <f>$B$56</f>
        <v>Water Closet</v>
      </c>
      <c r="C262" s="106">
        <f t="shared" si="37"/>
        <v>88</v>
      </c>
      <c r="D262" s="107" t="str">
        <f>$D$56</f>
        <v>EA</v>
      </c>
      <c r="G262" s="105" t="str">
        <f>$B$56</f>
        <v>Water Closet</v>
      </c>
      <c r="H262" s="106">
        <v>1</v>
      </c>
      <c r="I262" s="107" t="str">
        <f>$D$56</f>
        <v>EA</v>
      </c>
      <c r="J262" s="107">
        <f t="shared" si="38"/>
        <v>16</v>
      </c>
      <c r="L262" s="105" t="str">
        <f>$B$56</f>
        <v>Water Closet</v>
      </c>
      <c r="M262" s="106">
        <v>1</v>
      </c>
      <c r="N262" s="107" t="str">
        <f>$D$56</f>
        <v>EA</v>
      </c>
      <c r="O262" s="107">
        <f t="shared" si="39"/>
        <v>18</v>
      </c>
      <c r="Q262" s="105" t="str">
        <f>$B$56</f>
        <v>Water Closet</v>
      </c>
      <c r="R262" s="106">
        <v>1</v>
      </c>
      <c r="S262" s="107" t="str">
        <f>$D$56</f>
        <v>EA</v>
      </c>
      <c r="T262" s="107">
        <f t="shared" si="40"/>
        <v>18</v>
      </c>
      <c r="V262" s="105" t="str">
        <f>$B$56</f>
        <v>Water Closet</v>
      </c>
      <c r="W262" s="106">
        <v>1</v>
      </c>
      <c r="X262" s="107" t="str">
        <f>$D$56</f>
        <v>EA</v>
      </c>
      <c r="Y262" s="107">
        <f t="shared" si="41"/>
        <v>18</v>
      </c>
      <c r="AA262" s="105" t="str">
        <f>$B$56</f>
        <v>Water Closet</v>
      </c>
      <c r="AB262" s="106">
        <v>1</v>
      </c>
      <c r="AC262" s="107" t="str">
        <f>$D$56</f>
        <v>EA</v>
      </c>
      <c r="AD262" s="107">
        <f t="shared" si="42"/>
        <v>18</v>
      </c>
      <c r="CI262" s="76"/>
      <c r="CJ262" s="76"/>
      <c r="CK262" s="76"/>
      <c r="CL262" s="76"/>
      <c r="CM262" s="76"/>
      <c r="CN262" s="76"/>
      <c r="CO262" s="76"/>
      <c r="CP262" s="76"/>
      <c r="CQ262" s="76"/>
      <c r="CR262" s="76"/>
      <c r="CS262" s="76"/>
    </row>
    <row r="263" spans="2:97" s="72" customFormat="1">
      <c r="B263" s="105" t="str">
        <f>$B$61</f>
        <v>Chilled Water Concealed Ducted Unit w/ Electric Heat</v>
      </c>
      <c r="C263" s="106">
        <f t="shared" si="37"/>
        <v>88</v>
      </c>
      <c r="D263" s="107" t="str">
        <f>$D$61</f>
        <v>EA</v>
      </c>
      <c r="G263" s="105" t="str">
        <f>$B$61</f>
        <v>Chilled Water Concealed Ducted Unit w/ Electric Heat</v>
      </c>
      <c r="H263" s="106">
        <v>1</v>
      </c>
      <c r="I263" s="107" t="str">
        <f>$D$61</f>
        <v>EA</v>
      </c>
      <c r="J263" s="107">
        <f t="shared" si="38"/>
        <v>16</v>
      </c>
      <c r="L263" s="105" t="str">
        <f>$B$61</f>
        <v>Chilled Water Concealed Ducted Unit w/ Electric Heat</v>
      </c>
      <c r="M263" s="106">
        <v>1</v>
      </c>
      <c r="N263" s="107" t="str">
        <f>$D$61</f>
        <v>EA</v>
      </c>
      <c r="O263" s="107">
        <f t="shared" si="39"/>
        <v>18</v>
      </c>
      <c r="Q263" s="105" t="str">
        <f>$B$61</f>
        <v>Chilled Water Concealed Ducted Unit w/ Electric Heat</v>
      </c>
      <c r="R263" s="106">
        <v>1</v>
      </c>
      <c r="S263" s="107" t="str">
        <f>$D$61</f>
        <v>EA</v>
      </c>
      <c r="T263" s="107">
        <f t="shared" si="40"/>
        <v>18</v>
      </c>
      <c r="V263" s="105" t="str">
        <f>$B$61</f>
        <v>Chilled Water Concealed Ducted Unit w/ Electric Heat</v>
      </c>
      <c r="W263" s="106">
        <v>1</v>
      </c>
      <c r="X263" s="107" t="str">
        <f>$D$61</f>
        <v>EA</v>
      </c>
      <c r="Y263" s="107">
        <f t="shared" si="41"/>
        <v>18</v>
      </c>
      <c r="AA263" s="105" t="str">
        <f>$B$61</f>
        <v>Chilled Water Concealed Ducted Unit w/ Electric Heat</v>
      </c>
      <c r="AB263" s="106">
        <v>1</v>
      </c>
      <c r="AC263" s="107" t="str">
        <f>$D$61</f>
        <v>EA</v>
      </c>
      <c r="AD263" s="107">
        <f t="shared" si="42"/>
        <v>18</v>
      </c>
      <c r="CI263" s="76"/>
      <c r="CJ263" s="76"/>
      <c r="CK263" s="76"/>
      <c r="CL263" s="76"/>
      <c r="CM263" s="76"/>
      <c r="CN263" s="76"/>
      <c r="CO263" s="76"/>
      <c r="CP263" s="76"/>
      <c r="CQ263" s="76"/>
      <c r="CR263" s="76"/>
      <c r="CS263" s="76"/>
    </row>
    <row r="264" spans="2:97" s="72" customFormat="1">
      <c r="B264" s="108" t="str">
        <f>$B$66</f>
        <v>Panel Board</v>
      </c>
      <c r="C264" s="109">
        <f t="shared" si="37"/>
        <v>88</v>
      </c>
      <c r="D264" s="110" t="str">
        <f>$D$66</f>
        <v>EA</v>
      </c>
      <c r="G264" s="108" t="str">
        <f>$B$66</f>
        <v>Panel Board</v>
      </c>
      <c r="H264" s="109">
        <v>1</v>
      </c>
      <c r="I264" s="110" t="str">
        <f>$D$66</f>
        <v>EA</v>
      </c>
      <c r="J264" s="110">
        <f t="shared" si="38"/>
        <v>16</v>
      </c>
      <c r="L264" s="108" t="str">
        <f>$B$66</f>
        <v>Panel Board</v>
      </c>
      <c r="M264" s="109">
        <v>1</v>
      </c>
      <c r="N264" s="110" t="str">
        <f>$D$66</f>
        <v>EA</v>
      </c>
      <c r="O264" s="110">
        <f t="shared" si="39"/>
        <v>18</v>
      </c>
      <c r="Q264" s="108" t="str">
        <f>$B$66</f>
        <v>Panel Board</v>
      </c>
      <c r="R264" s="109">
        <v>1</v>
      </c>
      <c r="S264" s="110" t="str">
        <f>$D$66</f>
        <v>EA</v>
      </c>
      <c r="T264" s="110">
        <f t="shared" si="40"/>
        <v>18</v>
      </c>
      <c r="V264" s="108" t="str">
        <f>$B$66</f>
        <v>Panel Board</v>
      </c>
      <c r="W264" s="109">
        <v>1</v>
      </c>
      <c r="X264" s="110" t="str">
        <f>$D$66</f>
        <v>EA</v>
      </c>
      <c r="Y264" s="110">
        <f t="shared" si="41"/>
        <v>18</v>
      </c>
      <c r="AA264" s="108" t="str">
        <f>$B$66</f>
        <v>Panel Board</v>
      </c>
      <c r="AB264" s="109">
        <v>1</v>
      </c>
      <c r="AC264" s="110" t="str">
        <f>$D$66</f>
        <v>EA</v>
      </c>
      <c r="AD264" s="110">
        <f t="shared" si="42"/>
        <v>18</v>
      </c>
      <c r="CI264" s="76"/>
      <c r="CJ264" s="76"/>
      <c r="CK264" s="76"/>
      <c r="CL264" s="76"/>
      <c r="CM264" s="76"/>
      <c r="CN264" s="76"/>
      <c r="CO264" s="76"/>
      <c r="CP264" s="76"/>
      <c r="CQ264" s="76"/>
      <c r="CR264" s="76"/>
      <c r="CS264" s="76"/>
    </row>
    <row r="265" spans="2:97" s="72" customFormat="1"/>
    <row r="266" spans="2:97" s="72" customFormat="1"/>
    <row r="267" spans="2:97" s="74" customFormat="1" ht="15.75">
      <c r="C267" s="122"/>
      <c r="D267" s="122"/>
      <c r="H267" s="169"/>
      <c r="I267" s="169"/>
      <c r="M267" s="169"/>
      <c r="N267" s="169"/>
      <c r="R267" s="169"/>
      <c r="S267" s="169"/>
      <c r="W267" s="169"/>
      <c r="X267" s="169"/>
      <c r="AB267" s="169"/>
      <c r="AC267" s="169"/>
    </row>
    <row r="268" spans="2:97" s="72" customFormat="1"/>
    <row r="269" spans="2:97" s="72" customFormat="1"/>
    <row r="270" spans="2:97" s="72" customFormat="1"/>
    <row r="271" spans="2:97" s="72" customFormat="1"/>
    <row r="272" spans="2:97" s="72" customFormat="1"/>
    <row r="273" s="72" customFormat="1"/>
    <row r="274" s="72" customFormat="1"/>
    <row r="275" s="72" customFormat="1"/>
    <row r="276" s="72" customFormat="1"/>
    <row r="277" s="72" customFormat="1"/>
    <row r="278" s="72" customFormat="1"/>
    <row r="279" s="72" customFormat="1"/>
    <row r="280" s="72" customFormat="1"/>
    <row r="281" s="72" customFormat="1"/>
    <row r="282" s="72" customFormat="1"/>
    <row r="283" s="72" customFormat="1"/>
    <row r="284" s="72" customFormat="1"/>
    <row r="285" s="72" customFormat="1"/>
    <row r="286" s="72" customFormat="1"/>
    <row r="287" s="72" customFormat="1"/>
    <row r="288" s="72" customFormat="1"/>
    <row r="289" s="72" customFormat="1"/>
    <row r="290" s="72" customFormat="1"/>
    <row r="291" s="72" customFormat="1"/>
    <row r="292" s="72" customFormat="1"/>
    <row r="293" s="72" customFormat="1"/>
    <row r="294" s="72" customFormat="1"/>
    <row r="295" s="72" customFormat="1"/>
    <row r="296" s="72" customFormat="1"/>
    <row r="297" s="72" customFormat="1"/>
    <row r="298" s="72" customFormat="1"/>
    <row r="299" s="72" customFormat="1"/>
    <row r="300" s="72" customFormat="1"/>
    <row r="301" s="72" customFormat="1"/>
    <row r="302" s="72" customFormat="1"/>
    <row r="303" s="72" customFormat="1"/>
    <row r="304" s="72" customFormat="1"/>
    <row r="305" s="72" customFormat="1"/>
    <row r="306" s="72" customFormat="1"/>
    <row r="307" s="72" customFormat="1"/>
    <row r="308" s="72" customFormat="1"/>
    <row r="309" s="72" customFormat="1"/>
    <row r="310" s="72" customFormat="1"/>
    <row r="311" s="72" customFormat="1"/>
    <row r="312" s="72" customFormat="1"/>
    <row r="313" s="72" customFormat="1"/>
    <row r="314" s="72" customFormat="1"/>
    <row r="315" s="72" customFormat="1"/>
    <row r="316" s="72" customFormat="1"/>
    <row r="317" s="72" customFormat="1"/>
    <row r="318" s="72" customFormat="1"/>
    <row r="319" s="72" customFormat="1"/>
    <row r="320" s="72" customFormat="1"/>
    <row r="321" s="72" customFormat="1"/>
    <row r="322" s="72" customFormat="1"/>
    <row r="323" s="72" customFormat="1"/>
    <row r="324" s="72" customFormat="1"/>
    <row r="325" s="72" customFormat="1"/>
    <row r="326" s="72" customFormat="1"/>
    <row r="327" s="72" customFormat="1"/>
    <row r="328" s="72" customFormat="1"/>
    <row r="329" s="72" customFormat="1"/>
    <row r="330" s="72" customFormat="1"/>
    <row r="331" s="72" customFormat="1"/>
    <row r="332" s="72" customFormat="1"/>
    <row r="333" s="72" customFormat="1"/>
    <row r="334" s="72" customFormat="1"/>
    <row r="335" s="72" customFormat="1"/>
    <row r="336" s="72" customFormat="1"/>
    <row r="337" s="72" customFormat="1"/>
    <row r="338" s="72" customFormat="1"/>
    <row r="339" s="72" customFormat="1"/>
    <row r="340" s="72" customFormat="1"/>
    <row r="341" s="72" customFormat="1"/>
    <row r="342" s="72" customFormat="1"/>
    <row r="343" s="72" customFormat="1"/>
    <row r="344" s="72" customFormat="1"/>
    <row r="345" s="72" customFormat="1"/>
    <row r="346" s="72" customFormat="1"/>
    <row r="347" s="72" customFormat="1"/>
    <row r="348" s="72" customFormat="1"/>
    <row r="349" s="72" customFormat="1"/>
    <row r="350" s="72" customFormat="1"/>
    <row r="351" s="72" customFormat="1"/>
    <row r="352" s="72" customFormat="1"/>
    <row r="353" s="72" customFormat="1"/>
    <row r="354" s="72" customFormat="1"/>
    <row r="355" s="72" customFormat="1"/>
    <row r="356" s="72" customFormat="1"/>
    <row r="357" s="72" customFormat="1"/>
    <row r="358" s="72" customFormat="1"/>
    <row r="359" s="72" customFormat="1"/>
    <row r="360" s="72" customFormat="1"/>
    <row r="361" s="72" customFormat="1"/>
    <row r="362" s="72" customFormat="1"/>
    <row r="363" s="72" customFormat="1"/>
    <row r="364" s="72" customFormat="1"/>
    <row r="365" s="72" customFormat="1"/>
    <row r="366" s="72" customFormat="1"/>
    <row r="367" s="72" customFormat="1"/>
    <row r="368" s="72" customFormat="1"/>
    <row r="369" s="72" customFormat="1"/>
    <row r="370" s="72" customFormat="1"/>
    <row r="371" s="72" customFormat="1"/>
    <row r="372" s="72" customFormat="1"/>
    <row r="373" s="72" customFormat="1"/>
    <row r="374" s="72" customFormat="1"/>
    <row r="375" s="72" customFormat="1"/>
    <row r="376" s="72" customFormat="1"/>
    <row r="377" s="72" customFormat="1"/>
    <row r="378" s="72" customFormat="1"/>
    <row r="379" s="72" customFormat="1"/>
    <row r="380" s="72" customFormat="1"/>
    <row r="381" s="72" customFormat="1"/>
    <row r="382" s="72" customFormat="1"/>
    <row r="383" s="72" customFormat="1"/>
    <row r="384" s="72" customFormat="1"/>
    <row r="385" s="72" customFormat="1"/>
    <row r="386" s="72" customFormat="1"/>
    <row r="387" s="72" customFormat="1"/>
    <row r="388" s="72" customFormat="1"/>
    <row r="389" s="72" customFormat="1"/>
    <row r="390" s="72" customFormat="1"/>
    <row r="391" s="72" customFormat="1"/>
    <row r="392" s="72" customFormat="1"/>
    <row r="393" s="72" customFormat="1"/>
    <row r="394" s="72" customFormat="1"/>
    <row r="395" s="72" customFormat="1"/>
    <row r="396" s="72" customFormat="1"/>
    <row r="397" s="72" customFormat="1"/>
    <row r="398" s="72" customFormat="1"/>
    <row r="399" s="72" customFormat="1"/>
    <row r="400" s="72" customFormat="1"/>
    <row r="401" s="72" customFormat="1"/>
    <row r="402" s="72" customFormat="1"/>
    <row r="403" s="72" customFormat="1"/>
    <row r="404" s="72" customFormat="1"/>
    <row r="405" s="72" customFormat="1"/>
    <row r="406" s="72" customFormat="1"/>
    <row r="407" s="72" customFormat="1"/>
    <row r="408" s="72" customFormat="1"/>
    <row r="409" s="72" customFormat="1"/>
    <row r="410" s="72" customFormat="1"/>
    <row r="411" s="72" customFormat="1"/>
    <row r="412" s="72" customFormat="1"/>
    <row r="413" s="72" customFormat="1"/>
    <row r="414" s="72" customFormat="1"/>
    <row r="415" s="72" customFormat="1"/>
    <row r="416" s="72" customFormat="1"/>
    <row r="417" s="72" customFormat="1"/>
    <row r="418" s="72" customFormat="1"/>
    <row r="419" s="72" customFormat="1"/>
    <row r="420" s="72" customFormat="1"/>
    <row r="421" s="72" customFormat="1"/>
    <row r="422" s="72" customFormat="1"/>
    <row r="423" s="72" customFormat="1"/>
    <row r="424" s="72" customFormat="1"/>
    <row r="425" s="72" customFormat="1"/>
    <row r="426" s="72" customFormat="1"/>
    <row r="427" s="72" customFormat="1"/>
    <row r="428" s="72" customFormat="1"/>
    <row r="429" s="72" customFormat="1"/>
    <row r="430" s="72" customFormat="1"/>
    <row r="431" s="72" customFormat="1"/>
    <row r="432" s="72" customFormat="1"/>
    <row r="433" s="72" customFormat="1"/>
    <row r="434" s="72" customFormat="1"/>
    <row r="435" s="72" customFormat="1"/>
    <row r="436" s="72" customFormat="1"/>
    <row r="437" s="72" customFormat="1"/>
    <row r="438" s="72" customFormat="1"/>
    <row r="439" s="72" customFormat="1"/>
    <row r="440" s="72" customFormat="1"/>
    <row r="441" s="72" customFormat="1"/>
    <row r="442" s="72" customFormat="1"/>
    <row r="443" s="72" customFormat="1"/>
    <row r="444" s="72" customFormat="1"/>
    <row r="445" s="72" customFormat="1"/>
    <row r="446" s="72" customFormat="1"/>
    <row r="447" s="72" customFormat="1"/>
    <row r="448" s="72" customFormat="1"/>
    <row r="449" s="72" customFormat="1"/>
    <row r="450" s="72" customFormat="1"/>
    <row r="451" s="72" customFormat="1"/>
    <row r="452" s="72" customFormat="1"/>
    <row r="453" s="72" customFormat="1"/>
    <row r="454" s="72" customFormat="1"/>
    <row r="455" s="72" customFormat="1"/>
    <row r="456" s="72" customFormat="1"/>
    <row r="457" s="72" customFormat="1"/>
    <row r="458" s="72" customFormat="1"/>
    <row r="459" s="72" customFormat="1"/>
    <row r="460" s="72" customFormat="1"/>
    <row r="461" s="72" customFormat="1"/>
    <row r="462" s="72" customFormat="1"/>
    <row r="463" s="72" customFormat="1"/>
    <row r="464" s="72" customFormat="1"/>
    <row r="465" s="72" customFormat="1"/>
    <row r="466" s="72" customFormat="1"/>
    <row r="467" s="72" customFormat="1"/>
    <row r="468" s="72" customFormat="1"/>
    <row r="469" s="72" customFormat="1"/>
    <row r="470" s="72" customFormat="1"/>
    <row r="471" s="72" customFormat="1"/>
    <row r="472" s="72" customFormat="1"/>
    <row r="473" s="72" customFormat="1"/>
    <row r="474" s="72" customFormat="1"/>
    <row r="475" s="72" customFormat="1"/>
    <row r="476" s="72" customFormat="1"/>
    <row r="477" s="72" customFormat="1"/>
    <row r="478" s="72" customFormat="1"/>
    <row r="479" s="72" customFormat="1"/>
    <row r="480" s="72" customFormat="1"/>
    <row r="481" s="72" customFormat="1"/>
    <row r="482" s="72" customFormat="1"/>
    <row r="483" s="72" customFormat="1"/>
    <row r="484" s="72" customFormat="1"/>
    <row r="485" s="72" customFormat="1"/>
    <row r="486" s="72" customFormat="1"/>
    <row r="487" s="72" customFormat="1"/>
    <row r="488" s="72" customFormat="1"/>
    <row r="489" s="72" customFormat="1"/>
    <row r="490" s="72" customFormat="1"/>
    <row r="491" s="72" customFormat="1"/>
    <row r="492" s="72" customFormat="1"/>
    <row r="493" s="72" customFormat="1"/>
    <row r="494" s="72" customFormat="1"/>
    <row r="495" s="72" customFormat="1"/>
    <row r="496" s="72" customFormat="1"/>
    <row r="497" s="72" customFormat="1"/>
    <row r="498" s="72" customFormat="1"/>
    <row r="499" s="72" customFormat="1"/>
    <row r="500" s="72" customFormat="1"/>
    <row r="501" s="72" customFormat="1"/>
    <row r="502" s="72" customFormat="1"/>
    <row r="503" s="72" customFormat="1"/>
    <row r="504" s="72" customFormat="1"/>
    <row r="505" s="72" customFormat="1"/>
    <row r="506" s="72" customFormat="1"/>
    <row r="507" s="72" customFormat="1"/>
    <row r="508" s="72" customFormat="1"/>
    <row r="509" s="72" customFormat="1"/>
    <row r="510" s="72" customFormat="1"/>
    <row r="511" s="72" customFormat="1"/>
    <row r="512" s="72" customFormat="1"/>
    <row r="513" s="72" customFormat="1"/>
    <row r="514" s="72" customFormat="1"/>
    <row r="515" s="72" customFormat="1"/>
    <row r="516" s="72" customFormat="1"/>
    <row r="517" s="72" customFormat="1"/>
    <row r="518" s="72" customFormat="1"/>
    <row r="519" s="72" customFormat="1"/>
    <row r="520" s="72" customFormat="1"/>
    <row r="521" s="72" customFormat="1"/>
    <row r="522" s="72" customFormat="1"/>
    <row r="523" s="72" customFormat="1"/>
    <row r="524" s="72" customFormat="1"/>
    <row r="525" s="72" customFormat="1"/>
    <row r="526" s="72" customFormat="1"/>
    <row r="527" s="72" customFormat="1"/>
    <row r="528" s="72" customFormat="1"/>
    <row r="529" s="72" customFormat="1"/>
    <row r="530" s="72" customFormat="1"/>
    <row r="531" s="72" customFormat="1"/>
    <row r="532" s="72" customFormat="1"/>
    <row r="533" s="72" customFormat="1"/>
    <row r="534" s="72" customFormat="1"/>
    <row r="535" s="72" customFormat="1"/>
    <row r="536" s="72" customFormat="1"/>
    <row r="537" s="72" customFormat="1"/>
    <row r="538" s="72" customFormat="1"/>
    <row r="539" s="72" customFormat="1"/>
    <row r="540" s="72" customFormat="1"/>
    <row r="541" s="72" customFormat="1"/>
    <row r="542" s="72" customFormat="1"/>
    <row r="543" s="72" customFormat="1"/>
    <row r="544" s="72" customFormat="1"/>
    <row r="545" s="72" customFormat="1"/>
    <row r="546" s="72" customFormat="1"/>
    <row r="547" s="72" customFormat="1"/>
    <row r="548" s="72" customFormat="1"/>
    <row r="549" s="72" customFormat="1"/>
    <row r="550" s="72" customFormat="1"/>
    <row r="551" s="72" customFormat="1"/>
    <row r="552" s="72" customFormat="1"/>
    <row r="553" s="72" customFormat="1"/>
    <row r="554" s="72" customFormat="1"/>
    <row r="555" s="72" customFormat="1"/>
    <row r="556" s="72" customFormat="1"/>
    <row r="557" s="72" customFormat="1"/>
    <row r="558" s="72" customFormat="1"/>
    <row r="559" s="72" customFormat="1"/>
    <row r="560" s="72" customFormat="1"/>
    <row r="561" s="72" customFormat="1"/>
    <row r="562" s="72" customFormat="1"/>
    <row r="563" s="72" customFormat="1"/>
    <row r="564" s="72" customFormat="1"/>
    <row r="565" s="72" customFormat="1"/>
    <row r="566" s="72" customFormat="1"/>
    <row r="567" s="72" customFormat="1"/>
    <row r="568" s="72" customFormat="1"/>
    <row r="569" s="72" customFormat="1"/>
    <row r="570" s="72" customFormat="1"/>
    <row r="571" s="72" customFormat="1"/>
    <row r="572" s="72" customFormat="1"/>
    <row r="573" s="72" customFormat="1"/>
    <row r="574" s="72" customFormat="1"/>
    <row r="575" s="72" customFormat="1"/>
    <row r="576" s="72" customFormat="1"/>
    <row r="577" s="72" customFormat="1"/>
    <row r="578" s="72" customFormat="1"/>
    <row r="579" s="72" customFormat="1"/>
    <row r="580" s="72" customFormat="1"/>
    <row r="581" s="72" customFormat="1"/>
    <row r="582" s="72" customFormat="1"/>
    <row r="583" s="72" customFormat="1"/>
    <row r="584" s="72" customFormat="1"/>
    <row r="585" s="72" customFormat="1"/>
    <row r="586" s="72" customFormat="1"/>
    <row r="587" s="72" customFormat="1"/>
    <row r="588" s="72" customFormat="1"/>
    <row r="589" s="72" customFormat="1"/>
    <row r="590" s="72" customFormat="1"/>
    <row r="591" s="72" customFormat="1"/>
    <row r="592" s="72" customFormat="1"/>
    <row r="593" s="72" customFormat="1"/>
    <row r="594" s="72" customFormat="1"/>
    <row r="595" s="72" customFormat="1"/>
    <row r="596" s="72" customFormat="1"/>
    <row r="597" s="72" customFormat="1"/>
    <row r="598" s="72" customFormat="1"/>
    <row r="599" s="72" customFormat="1"/>
    <row r="600" s="72" customFormat="1"/>
    <row r="601" s="72" customFormat="1"/>
    <row r="602" s="72" customFormat="1"/>
    <row r="603" s="72" customFormat="1"/>
    <row r="604" s="72" customFormat="1"/>
    <row r="605" s="72" customFormat="1"/>
    <row r="606" s="72" customFormat="1"/>
    <row r="607" s="72" customFormat="1"/>
    <row r="608" s="72" customFormat="1"/>
    <row r="609" s="72" customFormat="1"/>
    <row r="610" s="72" customFormat="1"/>
    <row r="611" s="72" customFormat="1"/>
    <row r="612" s="72" customFormat="1"/>
    <row r="613" s="72" customFormat="1"/>
    <row r="614" s="72" customFormat="1"/>
    <row r="615" s="72" customFormat="1"/>
    <row r="616" s="72" customFormat="1"/>
    <row r="617" s="72" customFormat="1"/>
    <row r="618" s="72" customFormat="1"/>
    <row r="619" s="72" customFormat="1"/>
    <row r="620" s="72" customFormat="1"/>
    <row r="621" s="72" customFormat="1"/>
    <row r="622" s="72" customFormat="1"/>
    <row r="623" s="72" customFormat="1"/>
    <row r="624" s="72" customFormat="1"/>
    <row r="625" s="72" customFormat="1"/>
    <row r="626" s="72" customFormat="1"/>
    <row r="627" s="72" customFormat="1"/>
    <row r="628" s="72" customFormat="1"/>
    <row r="629" s="72" customFormat="1"/>
    <row r="630" s="72" customFormat="1"/>
    <row r="631" s="72" customFormat="1"/>
    <row r="632" s="72" customFormat="1"/>
    <row r="633" s="72" customFormat="1"/>
    <row r="634" s="72" customFormat="1"/>
    <row r="635" s="72" customFormat="1"/>
    <row r="636" s="72" customFormat="1"/>
    <row r="637" s="72" customFormat="1"/>
    <row r="638" s="72" customFormat="1"/>
    <row r="639" s="72" customFormat="1"/>
    <row r="640" s="72" customFormat="1"/>
    <row r="641" s="72" customFormat="1"/>
    <row r="642" s="72" customFormat="1"/>
    <row r="643" s="72" customFormat="1"/>
    <row r="644" s="72" customFormat="1"/>
    <row r="645" s="72" customFormat="1"/>
    <row r="646" s="72" customFormat="1"/>
    <row r="647" s="72" customFormat="1"/>
    <row r="648" s="72" customFormat="1"/>
    <row r="649" s="72" customFormat="1"/>
    <row r="650" s="72" customFormat="1"/>
    <row r="651" s="72" customFormat="1"/>
    <row r="652" s="72" customFormat="1"/>
    <row r="653" s="72" customFormat="1"/>
    <row r="654" s="72" customFormat="1"/>
    <row r="655" s="72" customFormat="1"/>
    <row r="656" s="72" customFormat="1"/>
    <row r="657" s="72" customFormat="1"/>
    <row r="658" s="72" customFormat="1"/>
    <row r="659" s="72" customFormat="1"/>
    <row r="660" s="72" customFormat="1"/>
    <row r="661" s="72" customFormat="1"/>
    <row r="662" s="72" customFormat="1"/>
    <row r="663" s="72" customFormat="1"/>
    <row r="664" s="72" customFormat="1"/>
    <row r="665" s="72" customFormat="1"/>
    <row r="666" s="72" customFormat="1"/>
    <row r="667" s="72" customFormat="1"/>
    <row r="668" s="72" customFormat="1"/>
    <row r="669" s="72" customFormat="1"/>
    <row r="670" s="72" customFormat="1"/>
    <row r="671" s="72" customFormat="1"/>
    <row r="672" s="72" customFormat="1"/>
    <row r="673" s="72" customFormat="1"/>
    <row r="674" s="72" customFormat="1"/>
    <row r="675" s="72" customFormat="1"/>
    <row r="676" s="72" customFormat="1"/>
    <row r="677" s="72" customFormat="1"/>
    <row r="678" s="72" customFormat="1"/>
    <row r="679" s="72" customFormat="1"/>
    <row r="680" s="72" customFormat="1"/>
    <row r="681" s="72" customFormat="1"/>
    <row r="682" s="72" customFormat="1"/>
    <row r="683" s="72" customFormat="1"/>
    <row r="684" s="72" customFormat="1"/>
    <row r="685" s="72" customFormat="1"/>
  </sheetData>
  <mergeCells count="6">
    <mergeCell ref="AB267:AC267"/>
    <mergeCell ref="B70:D70"/>
    <mergeCell ref="H267:I267"/>
    <mergeCell ref="M267:N267"/>
    <mergeCell ref="R267:S267"/>
    <mergeCell ref="W267:X26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B2:K64"/>
  <sheetViews>
    <sheetView workbookViewId="0">
      <selection activeCell="I12" sqref="I12"/>
    </sheetView>
  </sheetViews>
  <sheetFormatPr defaultColWidth="8.85546875" defaultRowHeight="15"/>
  <cols>
    <col min="1" max="1" width="8.85546875" style="51"/>
    <col min="2" max="2" width="27.7109375" style="51" customWidth="1"/>
    <col min="3" max="3" width="55.28515625" style="51" customWidth="1"/>
    <col min="4" max="4" width="21.140625" style="51" customWidth="1"/>
    <col min="5" max="5" width="8.85546875" style="51"/>
    <col min="6" max="6" width="21.140625" style="51" customWidth="1"/>
    <col min="7" max="16384" width="8.85546875" style="51"/>
  </cols>
  <sheetData>
    <row r="2" spans="2:11" ht="15.75">
      <c r="B2" s="170" t="s">
        <v>76</v>
      </c>
      <c r="C2" s="171"/>
      <c r="D2" s="171"/>
      <c r="E2" s="171"/>
      <c r="F2" s="171"/>
      <c r="G2" s="172"/>
    </row>
    <row r="3" spans="2:11">
      <c r="B3" s="4" t="s">
        <v>77</v>
      </c>
      <c r="C3" s="52" t="s">
        <v>78</v>
      </c>
      <c r="D3" s="52" t="s">
        <v>79</v>
      </c>
      <c r="E3" s="52" t="s">
        <v>13</v>
      </c>
      <c r="F3" s="52" t="s">
        <v>80</v>
      </c>
      <c r="G3" s="53" t="s">
        <v>13</v>
      </c>
    </row>
    <row r="4" spans="2:11">
      <c r="B4" s="6" t="s">
        <v>81</v>
      </c>
      <c r="C4" s="7"/>
      <c r="D4" s="7"/>
      <c r="E4" s="7"/>
      <c r="F4" s="7"/>
      <c r="G4" s="8"/>
    </row>
    <row r="5" spans="2:11">
      <c r="B5" s="173" t="s">
        <v>82</v>
      </c>
      <c r="C5" s="54" t="s">
        <v>83</v>
      </c>
      <c r="D5" s="54">
        <v>10.867599999999999</v>
      </c>
      <c r="E5" s="54" t="s">
        <v>47</v>
      </c>
      <c r="F5" s="54">
        <f>1*2*D5/27</f>
        <v>0.80500740740740695</v>
      </c>
      <c r="G5" s="55" t="s">
        <v>84</v>
      </c>
    </row>
    <row r="6" spans="2:11">
      <c r="B6" s="173"/>
      <c r="C6" s="54" t="s">
        <v>85</v>
      </c>
      <c r="D6" s="54">
        <v>151.1</v>
      </c>
      <c r="E6" s="54" t="s">
        <v>47</v>
      </c>
      <c r="F6" s="54">
        <f>1.333*2*D6/27</f>
        <v>14.919725925925899</v>
      </c>
      <c r="G6" s="55" t="s">
        <v>84</v>
      </c>
    </row>
    <row r="7" spans="2:11">
      <c r="B7" s="173"/>
      <c r="C7" s="54" t="s">
        <v>86</v>
      </c>
      <c r="D7" s="54">
        <v>534.68169999999998</v>
      </c>
      <c r="E7" s="54" t="s">
        <v>47</v>
      </c>
      <c r="F7" s="54">
        <f>1.5*2*D7/27</f>
        <v>59.409077777777803</v>
      </c>
      <c r="G7" s="55" t="s">
        <v>84</v>
      </c>
    </row>
    <row r="8" spans="2:11">
      <c r="B8" s="173"/>
      <c r="C8" s="54" t="s">
        <v>87</v>
      </c>
      <c r="D8" s="54">
        <v>656.23379999999997</v>
      </c>
      <c r="E8" s="54" t="s">
        <v>47</v>
      </c>
      <c r="F8" s="54">
        <f>2*2*D8/27</f>
        <v>97.219822222222206</v>
      </c>
      <c r="G8" s="55" t="s">
        <v>84</v>
      </c>
    </row>
    <row r="9" spans="2:11" ht="15.75">
      <c r="B9" s="56" t="s">
        <v>23</v>
      </c>
      <c r="C9" s="57"/>
      <c r="D9" s="57">
        <f>SUM(D5:D8)</f>
        <v>1352.8831</v>
      </c>
      <c r="E9" s="57" t="s">
        <v>47</v>
      </c>
      <c r="F9" s="57">
        <f>SUM(F5:F8)</f>
        <v>172.35363333333299</v>
      </c>
      <c r="G9" s="58" t="s">
        <v>84</v>
      </c>
    </row>
    <row r="10" spans="2:11" ht="15.75">
      <c r="B10" s="59"/>
      <c r="C10" s="60"/>
      <c r="D10" s="60"/>
      <c r="E10" s="60"/>
      <c r="F10" s="60"/>
      <c r="G10" s="61"/>
    </row>
    <row r="11" spans="2:11">
      <c r="B11" s="173" t="s">
        <v>88</v>
      </c>
      <c r="C11" s="54" t="s">
        <v>89</v>
      </c>
      <c r="D11" s="54">
        <v>18</v>
      </c>
      <c r="E11" s="54" t="s">
        <v>1</v>
      </c>
      <c r="F11" s="54">
        <f>1*1*16*D11/27</f>
        <v>10.6666666666667</v>
      </c>
      <c r="G11" s="55" t="s">
        <v>84</v>
      </c>
    </row>
    <row r="12" spans="2:11">
      <c r="B12" s="173"/>
      <c r="C12" s="54" t="s">
        <v>90</v>
      </c>
      <c r="D12" s="54">
        <v>76</v>
      </c>
      <c r="E12" s="54" t="s">
        <v>1</v>
      </c>
      <c r="F12" s="54">
        <f>1*1.833*10.667*D12/27</f>
        <v>55.036979111111101</v>
      </c>
      <c r="G12" s="55" t="s">
        <v>84</v>
      </c>
    </row>
    <row r="13" spans="2:11">
      <c r="B13" s="173"/>
      <c r="C13" s="54" t="s">
        <v>91</v>
      </c>
      <c r="D13" s="54">
        <v>4</v>
      </c>
      <c r="E13" s="54" t="s">
        <v>1</v>
      </c>
      <c r="F13" s="54">
        <f>1*1.833*12.083*D13/27</f>
        <v>3.2812057777777799</v>
      </c>
      <c r="G13" s="55" t="s">
        <v>84</v>
      </c>
    </row>
    <row r="14" spans="2:11">
      <c r="B14" s="173"/>
      <c r="C14" s="54" t="s">
        <v>92</v>
      </c>
      <c r="D14" s="54">
        <v>14</v>
      </c>
      <c r="E14" s="54" t="s">
        <v>1</v>
      </c>
      <c r="F14" s="54">
        <f>1*1.833*15.667*D14/27</f>
        <v>14.890613111111101</v>
      </c>
      <c r="G14" s="55" t="s">
        <v>84</v>
      </c>
    </row>
    <row r="15" spans="2:11">
      <c r="B15" s="173"/>
      <c r="C15" s="54" t="s">
        <v>93</v>
      </c>
      <c r="D15" s="54">
        <v>34</v>
      </c>
      <c r="E15" s="54" t="s">
        <v>1</v>
      </c>
      <c r="F15" s="54">
        <f>1*1.833*16*D15/27</f>
        <v>36.931555555555597</v>
      </c>
      <c r="G15" s="55" t="s">
        <v>84</v>
      </c>
    </row>
    <row r="16" spans="2:11">
      <c r="B16" s="173"/>
      <c r="C16" s="54" t="s">
        <v>94</v>
      </c>
      <c r="D16" s="54">
        <v>9</v>
      </c>
      <c r="E16" s="54" t="s">
        <v>1</v>
      </c>
      <c r="F16" s="54">
        <f>1*1.833*17.417*D16/27</f>
        <v>10.641787000000001</v>
      </c>
      <c r="G16" s="55" t="s">
        <v>84</v>
      </c>
      <c r="K16" s="71"/>
    </row>
    <row r="17" spans="2:7">
      <c r="B17" s="173"/>
      <c r="C17" s="54" t="s">
        <v>95</v>
      </c>
      <c r="D17" s="54">
        <v>115</v>
      </c>
      <c r="E17" s="54" t="s">
        <v>1</v>
      </c>
      <c r="F17" s="54">
        <f>1.833*1.833*10.667*D17*27</f>
        <v>111283.001165115</v>
      </c>
      <c r="G17" s="55" t="s">
        <v>84</v>
      </c>
    </row>
    <row r="18" spans="2:7">
      <c r="B18" s="173"/>
      <c r="C18" s="54" t="s">
        <v>96</v>
      </c>
      <c r="D18" s="54">
        <v>2</v>
      </c>
      <c r="E18" s="54" t="s">
        <v>1</v>
      </c>
      <c r="F18" s="54">
        <f>1.833*1.833*12.083*D18/27</f>
        <v>3.0072250953333302</v>
      </c>
      <c r="G18" s="55" t="s">
        <v>84</v>
      </c>
    </row>
    <row r="19" spans="2:7">
      <c r="B19" s="173"/>
      <c r="C19" s="54" t="s">
        <v>97</v>
      </c>
      <c r="D19" s="54">
        <v>7</v>
      </c>
      <c r="E19" s="54" t="s">
        <v>1</v>
      </c>
      <c r="F19" s="54">
        <f>1.833*1.833*12.25*D19/27</f>
        <v>10.670758583333299</v>
      </c>
      <c r="G19" s="55" t="s">
        <v>84</v>
      </c>
    </row>
    <row r="20" spans="2:7">
      <c r="B20" s="173"/>
      <c r="C20" s="54" t="s">
        <v>98</v>
      </c>
      <c r="D20" s="54">
        <v>15</v>
      </c>
      <c r="E20" s="54" t="s">
        <v>1</v>
      </c>
      <c r="F20" s="54">
        <f>1.833*1.833*15.667*D20/27</f>
        <v>29.244100535000001</v>
      </c>
      <c r="G20" s="55" t="s">
        <v>84</v>
      </c>
    </row>
    <row r="21" spans="2:7">
      <c r="B21" s="173"/>
      <c r="C21" s="54" t="s">
        <v>99</v>
      </c>
      <c r="D21" s="54">
        <v>76</v>
      </c>
      <c r="E21" s="54" t="s">
        <v>1</v>
      </c>
      <c r="F21" s="54">
        <f>1.833*1.833*16*D21/27</f>
        <v>151.31944533333299</v>
      </c>
      <c r="G21" s="55" t="s">
        <v>84</v>
      </c>
    </row>
    <row r="22" spans="2:7">
      <c r="B22" s="173"/>
      <c r="C22" s="54" t="s">
        <v>100</v>
      </c>
      <c r="D22" s="54">
        <v>7</v>
      </c>
      <c r="E22" s="54" t="s">
        <v>1</v>
      </c>
      <c r="F22" s="54">
        <f>1.833*1.833*17.417*D22/27</f>
        <v>15.1716409996667</v>
      </c>
      <c r="G22" s="55" t="s">
        <v>84</v>
      </c>
    </row>
    <row r="23" spans="2:7">
      <c r="B23" s="173"/>
      <c r="C23" s="54" t="s">
        <v>101</v>
      </c>
      <c r="D23" s="54">
        <v>12</v>
      </c>
      <c r="E23" s="54" t="s">
        <v>1</v>
      </c>
      <c r="F23" s="54">
        <f>1.5*1.5*16*D23/27</f>
        <v>16</v>
      </c>
      <c r="G23" s="55" t="s">
        <v>84</v>
      </c>
    </row>
    <row r="24" spans="2:7">
      <c r="B24" s="173"/>
      <c r="C24" s="54" t="s">
        <v>102</v>
      </c>
      <c r="D24" s="54">
        <v>5</v>
      </c>
      <c r="E24" s="54" t="s">
        <v>1</v>
      </c>
      <c r="F24" s="54">
        <f>1.5*1.5*8.25*D24/27</f>
        <v>3.4375</v>
      </c>
      <c r="G24" s="55" t="s">
        <v>84</v>
      </c>
    </row>
    <row r="25" spans="2:7" ht="15.75">
      <c r="B25" s="56" t="s">
        <v>23</v>
      </c>
      <c r="C25" s="57"/>
      <c r="D25" s="57">
        <f>SUM(D11:D24)</f>
        <v>394</v>
      </c>
      <c r="E25" s="57" t="s">
        <v>1</v>
      </c>
      <c r="F25" s="57">
        <f>SUM(F11:F24)</f>
        <v>111643.300642884</v>
      </c>
      <c r="G25" s="58" t="s">
        <v>84</v>
      </c>
    </row>
    <row r="26" spans="2:7" ht="15.75">
      <c r="B26" s="59"/>
      <c r="C26" s="60"/>
      <c r="D26" s="60"/>
      <c r="E26" s="60"/>
      <c r="F26" s="60"/>
      <c r="G26" s="61"/>
    </row>
    <row r="27" spans="2:7">
      <c r="B27" s="62" t="s">
        <v>103</v>
      </c>
      <c r="C27" s="54" t="s">
        <v>104</v>
      </c>
      <c r="D27" s="54">
        <v>2865.1095</v>
      </c>
      <c r="E27" s="54" t="s">
        <v>47</v>
      </c>
      <c r="F27" s="54">
        <f>2*1.833*D27/27</f>
        <v>389.01820099999998</v>
      </c>
      <c r="G27" s="55" t="s">
        <v>84</v>
      </c>
    </row>
    <row r="28" spans="2:7" ht="15.75">
      <c r="B28" s="59"/>
      <c r="C28" s="60"/>
      <c r="D28" s="60"/>
      <c r="E28" s="60"/>
      <c r="F28" s="60"/>
      <c r="G28" s="61"/>
    </row>
    <row r="29" spans="2:7">
      <c r="B29" s="173" t="s">
        <v>105</v>
      </c>
      <c r="C29" s="54" t="s">
        <v>106</v>
      </c>
      <c r="D29" s="54">
        <v>69</v>
      </c>
      <c r="E29" s="54" t="s">
        <v>1</v>
      </c>
      <c r="F29" s="54">
        <f>3.14*1.75*1.75*30*D29/27</f>
        <v>737.24583333333305</v>
      </c>
      <c r="G29" s="55" t="s">
        <v>84</v>
      </c>
    </row>
    <row r="30" spans="2:7">
      <c r="B30" s="173"/>
      <c r="C30" s="54" t="s">
        <v>107</v>
      </c>
      <c r="D30" s="54">
        <v>36</v>
      </c>
      <c r="E30" s="54" t="s">
        <v>1</v>
      </c>
      <c r="F30" s="54">
        <f>3.14*2.25*2.25*30*D30/27</f>
        <v>635.85</v>
      </c>
      <c r="G30" s="55" t="s">
        <v>84</v>
      </c>
    </row>
    <row r="31" spans="2:7" ht="15.75">
      <c r="B31" s="56" t="s">
        <v>23</v>
      </c>
      <c r="C31" s="57"/>
      <c r="D31" s="57">
        <f>SUM(D29:D30)</f>
        <v>105</v>
      </c>
      <c r="E31" s="57" t="s">
        <v>1</v>
      </c>
      <c r="F31" s="57">
        <f>SUM(F29:F30)</f>
        <v>1373.0958333333299</v>
      </c>
      <c r="G31" s="58" t="s">
        <v>84</v>
      </c>
    </row>
    <row r="32" spans="2:7" ht="15.75">
      <c r="B32" s="59"/>
      <c r="C32" s="60"/>
      <c r="D32" s="60"/>
      <c r="E32" s="60"/>
      <c r="F32" s="60"/>
      <c r="G32" s="61"/>
    </row>
    <row r="33" spans="2:7">
      <c r="B33" s="173" t="s">
        <v>108</v>
      </c>
      <c r="C33" s="54" t="s">
        <v>109</v>
      </c>
      <c r="D33" s="54">
        <v>674.9</v>
      </c>
      <c r="E33" s="54" t="s">
        <v>47</v>
      </c>
      <c r="F33" s="54">
        <f>1*10.667*D33/27</f>
        <v>266.63549259259298</v>
      </c>
      <c r="G33" s="55" t="s">
        <v>84</v>
      </c>
    </row>
    <row r="34" spans="2:7">
      <c r="B34" s="173"/>
      <c r="C34" s="54" t="s">
        <v>110</v>
      </c>
      <c r="D34" s="54">
        <v>69.8215</v>
      </c>
      <c r="E34" s="54" t="s">
        <v>47</v>
      </c>
      <c r="F34" s="54">
        <f>1*11.75*D34/27</f>
        <v>30.385282407407399</v>
      </c>
      <c r="G34" s="55" t="s">
        <v>84</v>
      </c>
    </row>
    <row r="35" spans="2:7">
      <c r="B35" s="173"/>
      <c r="C35" s="54" t="s">
        <v>111</v>
      </c>
      <c r="D35" s="54">
        <v>105.90430000000001</v>
      </c>
      <c r="E35" s="54" t="s">
        <v>47</v>
      </c>
      <c r="F35" s="54">
        <f>1*15.667*D35/27</f>
        <v>61.451950670370401</v>
      </c>
      <c r="G35" s="55" t="s">
        <v>84</v>
      </c>
    </row>
    <row r="36" spans="2:7">
      <c r="B36" s="173"/>
      <c r="C36" s="54" t="s">
        <v>112</v>
      </c>
      <c r="D36" s="54">
        <v>305.34280000000001</v>
      </c>
      <c r="E36" s="54" t="s">
        <v>47</v>
      </c>
      <c r="F36" s="54">
        <f>1*16*D36/27</f>
        <v>180.94388148148099</v>
      </c>
      <c r="G36" s="55" t="s">
        <v>84</v>
      </c>
    </row>
    <row r="37" spans="2:7">
      <c r="B37" s="173"/>
      <c r="C37" s="54" t="s">
        <v>113</v>
      </c>
      <c r="D37" s="54">
        <v>58.171599999999998</v>
      </c>
      <c r="E37" s="54" t="s">
        <v>47</v>
      </c>
      <c r="F37" s="54">
        <f>1*16.75*D37/27</f>
        <v>36.087937037037001</v>
      </c>
      <c r="G37" s="55" t="s">
        <v>84</v>
      </c>
    </row>
    <row r="38" spans="2:7" ht="15.75">
      <c r="B38" s="56" t="s">
        <v>23</v>
      </c>
      <c r="C38" s="57"/>
      <c r="D38" s="57">
        <f>SUM(D33:D37)</f>
        <v>1214.1402</v>
      </c>
      <c r="E38" s="57" t="s">
        <v>47</v>
      </c>
      <c r="F38" s="57">
        <f>SUM(F33:F37)</f>
        <v>575.50454418888899</v>
      </c>
      <c r="G38" s="58" t="s">
        <v>84</v>
      </c>
    </row>
    <row r="39" spans="2:7" ht="15.75">
      <c r="B39" s="59"/>
      <c r="C39" s="60"/>
      <c r="D39" s="60"/>
      <c r="E39" s="60"/>
      <c r="F39" s="60"/>
      <c r="G39" s="61"/>
    </row>
    <row r="40" spans="2:7">
      <c r="B40" s="173" t="s">
        <v>114</v>
      </c>
      <c r="C40" s="54" t="s">
        <v>115</v>
      </c>
      <c r="D40" s="54">
        <v>16221.59</v>
      </c>
      <c r="E40" s="54" t="s">
        <v>38</v>
      </c>
      <c r="F40" s="54">
        <f>1*D40/27</f>
        <v>600.79962962962998</v>
      </c>
      <c r="G40" s="55" t="s">
        <v>84</v>
      </c>
    </row>
    <row r="41" spans="2:7">
      <c r="B41" s="173"/>
      <c r="C41" s="54" t="s">
        <v>116</v>
      </c>
      <c r="D41" s="54">
        <v>313.05</v>
      </c>
      <c r="E41" s="54" t="s">
        <v>38</v>
      </c>
      <c r="F41" s="54">
        <f>1*D41/27</f>
        <v>11.594444444444401</v>
      </c>
      <c r="G41" s="55" t="s">
        <v>84</v>
      </c>
    </row>
    <row r="42" spans="2:7">
      <c r="B42" s="173"/>
      <c r="C42" s="54" t="s">
        <v>117</v>
      </c>
      <c r="D42" s="54">
        <v>12057.23</v>
      </c>
      <c r="E42" s="54" t="s">
        <v>38</v>
      </c>
      <c r="F42" s="54">
        <f>0.333*D42/27</f>
        <v>148.70583666666701</v>
      </c>
      <c r="G42" s="55" t="s">
        <v>84</v>
      </c>
    </row>
    <row r="43" spans="2:7">
      <c r="B43" s="173"/>
      <c r="C43" s="54" t="s">
        <v>118</v>
      </c>
      <c r="D43" s="54">
        <v>112090.4</v>
      </c>
      <c r="E43" s="54" t="s">
        <v>38</v>
      </c>
      <c r="F43" s="54">
        <f>0.75*D43/27</f>
        <v>3113.62222222222</v>
      </c>
      <c r="G43" s="55" t="s">
        <v>84</v>
      </c>
    </row>
    <row r="44" spans="2:7" ht="15.75">
      <c r="B44" s="56" t="s">
        <v>23</v>
      </c>
      <c r="C44" s="57"/>
      <c r="D44" s="57">
        <f>D40+D41+D42+D43</f>
        <v>140682.26999999999</v>
      </c>
      <c r="E44" s="57" t="s">
        <v>38</v>
      </c>
      <c r="F44" s="57">
        <f>SUM(F40:F43)</f>
        <v>3874.7221329629601</v>
      </c>
      <c r="G44" s="58" t="s">
        <v>84</v>
      </c>
    </row>
    <row r="45" spans="2:7" ht="15.75">
      <c r="B45" s="59"/>
      <c r="C45" s="60"/>
      <c r="D45" s="60"/>
      <c r="E45" s="60"/>
      <c r="F45" s="60"/>
      <c r="G45" s="61"/>
    </row>
    <row r="46" spans="2:7">
      <c r="B46" s="62" t="s">
        <v>119</v>
      </c>
      <c r="C46" s="54" t="s">
        <v>120</v>
      </c>
      <c r="D46" s="54">
        <v>28579.68</v>
      </c>
      <c r="E46" s="54" t="s">
        <v>38</v>
      </c>
      <c r="F46" s="54">
        <f>0.667*D46/27</f>
        <v>706.02394666666703</v>
      </c>
      <c r="G46" s="55" t="s">
        <v>84</v>
      </c>
    </row>
    <row r="47" spans="2:7" ht="15.75">
      <c r="B47" s="56" t="s">
        <v>23</v>
      </c>
      <c r="C47" s="57"/>
      <c r="D47" s="57">
        <v>28579.68</v>
      </c>
      <c r="E47" s="57" t="s">
        <v>38</v>
      </c>
      <c r="F47" s="57">
        <f>SUM(F46:F46)</f>
        <v>706.02394666666703</v>
      </c>
      <c r="G47" s="58" t="s">
        <v>84</v>
      </c>
    </row>
    <row r="48" spans="2:7">
      <c r="B48" s="62"/>
      <c r="C48" s="63"/>
      <c r="D48" s="63"/>
      <c r="E48" s="63"/>
      <c r="F48" s="63"/>
      <c r="G48" s="64"/>
    </row>
    <row r="49" spans="2:7">
      <c r="B49" s="62" t="s">
        <v>121</v>
      </c>
      <c r="C49" s="54" t="s">
        <v>122</v>
      </c>
      <c r="D49" s="54">
        <v>87.030600000000007</v>
      </c>
      <c r="E49" s="54" t="s">
        <v>47</v>
      </c>
      <c r="F49" s="54">
        <f>1*4*D49/27</f>
        <v>12.893422222222201</v>
      </c>
      <c r="G49" s="55" t="s">
        <v>84</v>
      </c>
    </row>
    <row r="50" spans="2:7">
      <c r="B50" s="62"/>
      <c r="C50" s="54"/>
      <c r="D50" s="54"/>
      <c r="E50" s="54"/>
      <c r="F50" s="54"/>
      <c r="G50" s="55"/>
    </row>
    <row r="51" spans="2:7">
      <c r="B51" s="65" t="s">
        <v>123</v>
      </c>
      <c r="C51" s="66"/>
      <c r="D51" s="66"/>
      <c r="E51" s="66"/>
      <c r="F51" s="66"/>
      <c r="G51" s="67"/>
    </row>
    <row r="52" spans="2:7">
      <c r="B52" s="62"/>
      <c r="C52" s="54"/>
      <c r="D52" s="54"/>
      <c r="E52" s="54"/>
      <c r="F52" s="54"/>
      <c r="G52" s="55"/>
    </row>
    <row r="53" spans="2:7">
      <c r="B53" s="62" t="s">
        <v>124</v>
      </c>
      <c r="C53" s="54" t="s">
        <v>125</v>
      </c>
      <c r="D53" s="54">
        <v>6752.06</v>
      </c>
      <c r="E53" s="54" t="s">
        <v>38</v>
      </c>
      <c r="F53" s="54"/>
      <c r="G53" s="55"/>
    </row>
    <row r="54" spans="2:7">
      <c r="B54" s="62"/>
      <c r="C54" s="54"/>
      <c r="D54" s="54"/>
      <c r="E54" s="54"/>
      <c r="F54" s="54"/>
      <c r="G54" s="55"/>
    </row>
    <row r="55" spans="2:7">
      <c r="B55" s="173" t="s">
        <v>126</v>
      </c>
      <c r="C55" s="54" t="s">
        <v>127</v>
      </c>
      <c r="D55" s="54">
        <v>729.63260000000002</v>
      </c>
      <c r="E55" s="54" t="s">
        <v>47</v>
      </c>
      <c r="F55" s="54"/>
      <c r="G55" s="55"/>
    </row>
    <row r="56" spans="2:7">
      <c r="B56" s="173"/>
      <c r="C56" s="54" t="s">
        <v>128</v>
      </c>
      <c r="D56" s="54">
        <v>413.99169999999998</v>
      </c>
      <c r="E56" s="54" t="s">
        <v>47</v>
      </c>
      <c r="F56" s="54"/>
      <c r="G56" s="55"/>
    </row>
    <row r="57" spans="2:7">
      <c r="B57" s="173"/>
      <c r="C57" s="54" t="s">
        <v>129</v>
      </c>
      <c r="D57" s="54">
        <v>986.6</v>
      </c>
      <c r="E57" s="54" t="s">
        <v>47</v>
      </c>
      <c r="F57" s="54"/>
      <c r="G57" s="55"/>
    </row>
    <row r="58" spans="2:7">
      <c r="B58" s="173"/>
      <c r="C58" s="54" t="s">
        <v>130</v>
      </c>
      <c r="D58" s="54">
        <v>53.9</v>
      </c>
      <c r="E58" s="54" t="s">
        <v>47</v>
      </c>
      <c r="F58" s="54"/>
      <c r="G58" s="55"/>
    </row>
    <row r="59" spans="2:7" ht="15.75">
      <c r="B59" s="56" t="s">
        <v>23</v>
      </c>
      <c r="C59" s="57"/>
      <c r="D59" s="57">
        <f>SUM(D55:D58)</f>
        <v>2184.1242999999999</v>
      </c>
      <c r="E59" s="57" t="s">
        <v>47</v>
      </c>
      <c r="F59" s="57"/>
      <c r="G59" s="58"/>
    </row>
    <row r="60" spans="2:7">
      <c r="B60" s="62"/>
      <c r="C60" s="63"/>
      <c r="D60" s="63"/>
      <c r="E60" s="63"/>
      <c r="F60" s="63"/>
      <c r="G60" s="64"/>
    </row>
    <row r="61" spans="2:7">
      <c r="B61" s="173" t="s">
        <v>131</v>
      </c>
      <c r="C61" s="54" t="s">
        <v>132</v>
      </c>
      <c r="D61" s="54">
        <v>1</v>
      </c>
      <c r="E61" s="54" t="s">
        <v>1</v>
      </c>
      <c r="F61" s="54"/>
      <c r="G61" s="55"/>
    </row>
    <row r="62" spans="2:7">
      <c r="B62" s="173"/>
      <c r="C62" s="54" t="s">
        <v>133</v>
      </c>
      <c r="D62" s="54">
        <v>10</v>
      </c>
      <c r="E62" s="54" t="s">
        <v>1</v>
      </c>
      <c r="F62" s="54"/>
      <c r="G62" s="55"/>
    </row>
    <row r="63" spans="2:7">
      <c r="B63" s="173"/>
      <c r="C63" s="54" t="s">
        <v>134</v>
      </c>
      <c r="D63" s="54">
        <v>4</v>
      </c>
      <c r="E63" s="54" t="s">
        <v>1</v>
      </c>
      <c r="F63" s="54"/>
      <c r="G63" s="55"/>
    </row>
    <row r="64" spans="2:7" ht="15.75">
      <c r="B64" s="68" t="s">
        <v>23</v>
      </c>
      <c r="C64" s="69"/>
      <c r="D64" s="69">
        <f>SUM(D61:D63)</f>
        <v>15</v>
      </c>
      <c r="E64" s="69" t="s">
        <v>1</v>
      </c>
      <c r="F64" s="69"/>
      <c r="G64" s="70"/>
    </row>
  </sheetData>
  <mergeCells count="8">
    <mergeCell ref="B40:B43"/>
    <mergeCell ref="B55:B58"/>
    <mergeCell ref="B61:B63"/>
    <mergeCell ref="B2:G2"/>
    <mergeCell ref="B5:B8"/>
    <mergeCell ref="B11:B24"/>
    <mergeCell ref="B29:B30"/>
    <mergeCell ref="B33:B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5117038483843"/>
  </sheetPr>
  <dimension ref="C3:I88"/>
  <sheetViews>
    <sheetView workbookViewId="0">
      <selection activeCell="I51" sqref="I51"/>
    </sheetView>
  </sheetViews>
  <sheetFormatPr defaultColWidth="10" defaultRowHeight="15"/>
  <cols>
    <col min="1" max="2" width="10" style="1"/>
    <col min="3" max="3" width="18.5703125" style="2" customWidth="1"/>
    <col min="4" max="4" width="71.42578125" style="1" customWidth="1"/>
    <col min="5" max="5" width="13.42578125" style="3" customWidth="1"/>
    <col min="6" max="6" width="5.140625" style="3" customWidth="1"/>
    <col min="7" max="7" width="12.85546875" style="3"/>
    <col min="8" max="9" width="10" style="3"/>
    <col min="10" max="16384" width="10" style="1"/>
  </cols>
  <sheetData>
    <row r="3" spans="3:8" ht="15.75">
      <c r="C3" s="170" t="s">
        <v>135</v>
      </c>
      <c r="D3" s="174"/>
      <c r="E3" s="174"/>
      <c r="F3" s="174"/>
      <c r="G3" s="170"/>
      <c r="H3" s="175"/>
    </row>
    <row r="4" spans="3:8">
      <c r="C4" s="4" t="s">
        <v>136</v>
      </c>
      <c r="D4" s="4" t="s">
        <v>78</v>
      </c>
      <c r="E4" s="4" t="s">
        <v>79</v>
      </c>
      <c r="F4" s="4" t="s">
        <v>13</v>
      </c>
      <c r="G4" s="4" t="s">
        <v>80</v>
      </c>
      <c r="H4" s="5" t="s">
        <v>13</v>
      </c>
    </row>
    <row r="5" spans="3:8">
      <c r="C5" s="18" t="s">
        <v>137</v>
      </c>
      <c r="D5" s="19"/>
      <c r="E5" s="20"/>
      <c r="F5" s="20"/>
      <c r="G5" s="20"/>
      <c r="H5" s="21"/>
    </row>
    <row r="6" spans="3:8">
      <c r="C6" s="9" t="s">
        <v>138</v>
      </c>
      <c r="D6" s="10" t="s">
        <v>139</v>
      </c>
      <c r="E6" s="11">
        <v>64.258200000000002</v>
      </c>
      <c r="F6" s="11" t="s">
        <v>47</v>
      </c>
      <c r="G6" s="11">
        <f>18.667*E6</f>
        <v>1199.5078194</v>
      </c>
      <c r="H6" s="12" t="s">
        <v>38</v>
      </c>
    </row>
    <row r="7" spans="3:8">
      <c r="C7" s="18" t="s">
        <v>123</v>
      </c>
      <c r="D7" s="19"/>
      <c r="E7" s="20"/>
      <c r="F7" s="20"/>
      <c r="G7" s="20"/>
      <c r="H7" s="21"/>
    </row>
    <row r="8" spans="3:8">
      <c r="C8" s="9" t="s">
        <v>140</v>
      </c>
      <c r="D8" s="10" t="s">
        <v>141</v>
      </c>
      <c r="E8" s="11">
        <v>346.3236</v>
      </c>
      <c r="F8" s="11" t="s">
        <v>47</v>
      </c>
      <c r="G8" s="11"/>
      <c r="H8" s="12"/>
    </row>
    <row r="9" spans="3:8">
      <c r="C9" s="9" t="s">
        <v>142</v>
      </c>
      <c r="D9" s="10" t="s">
        <v>143</v>
      </c>
      <c r="E9" s="11">
        <v>769.96680000000003</v>
      </c>
      <c r="F9" s="11" t="s">
        <v>47</v>
      </c>
      <c r="G9" s="11"/>
      <c r="H9" s="12"/>
    </row>
    <row r="10" spans="3:8">
      <c r="C10" s="9" t="s">
        <v>144</v>
      </c>
      <c r="D10" s="10" t="s">
        <v>144</v>
      </c>
      <c r="E10" s="11">
        <v>778.55</v>
      </c>
      <c r="F10" s="11" t="s">
        <v>38</v>
      </c>
      <c r="G10" s="11"/>
      <c r="H10" s="12"/>
    </row>
    <row r="11" spans="3:8">
      <c r="C11" s="9" t="s">
        <v>145</v>
      </c>
      <c r="D11" s="10" t="s">
        <v>146</v>
      </c>
      <c r="E11" s="11">
        <v>323</v>
      </c>
      <c r="F11" s="11" t="s">
        <v>1</v>
      </c>
      <c r="G11" s="11"/>
      <c r="H11" s="12"/>
    </row>
    <row r="12" spans="3:8">
      <c r="C12" s="176" t="s">
        <v>147</v>
      </c>
      <c r="D12" s="10" t="s">
        <v>148</v>
      </c>
      <c r="E12" s="11">
        <v>1409.6264000000001</v>
      </c>
      <c r="F12" s="11" t="s">
        <v>47</v>
      </c>
      <c r="G12" s="11"/>
      <c r="H12" s="12"/>
    </row>
    <row r="13" spans="3:8">
      <c r="C13" s="176" t="s">
        <v>147</v>
      </c>
      <c r="D13" s="10" t="s">
        <v>149</v>
      </c>
      <c r="E13" s="11">
        <v>218.20179999999999</v>
      </c>
      <c r="F13" s="11" t="s">
        <v>47</v>
      </c>
      <c r="G13" s="11"/>
      <c r="H13" s="12"/>
    </row>
    <row r="14" spans="3:8">
      <c r="C14" s="9" t="s">
        <v>150</v>
      </c>
      <c r="D14" s="10" t="s">
        <v>150</v>
      </c>
      <c r="E14" s="11">
        <v>2</v>
      </c>
      <c r="F14" s="11" t="s">
        <v>1</v>
      </c>
      <c r="G14" s="11"/>
      <c r="H14" s="12"/>
    </row>
    <row r="15" spans="3:8">
      <c r="C15" s="18" t="s">
        <v>151</v>
      </c>
      <c r="D15" s="19"/>
      <c r="E15" s="20"/>
      <c r="F15" s="20"/>
      <c r="G15" s="20"/>
      <c r="H15" s="21"/>
    </row>
    <row r="16" spans="3:8">
      <c r="C16" s="9" t="s">
        <v>152</v>
      </c>
      <c r="D16" s="10" t="s">
        <v>152</v>
      </c>
      <c r="E16" s="11">
        <v>1592.3737000000001</v>
      </c>
      <c r="F16" s="11" t="s">
        <v>47</v>
      </c>
      <c r="G16" s="11"/>
      <c r="H16" s="12"/>
    </row>
    <row r="17" spans="3:8">
      <c r="C17" s="9" t="s">
        <v>153</v>
      </c>
      <c r="D17" s="10" t="s">
        <v>154</v>
      </c>
      <c r="E17" s="11">
        <v>1</v>
      </c>
      <c r="F17" s="11" t="s">
        <v>1</v>
      </c>
      <c r="G17" s="11"/>
      <c r="H17" s="12"/>
    </row>
    <row r="18" spans="3:8">
      <c r="C18" s="176" t="s">
        <v>155</v>
      </c>
      <c r="D18" s="10" t="s">
        <v>156</v>
      </c>
      <c r="E18" s="11">
        <v>823.27</v>
      </c>
      <c r="F18" s="11" t="s">
        <v>38</v>
      </c>
      <c r="G18" s="11"/>
      <c r="H18" s="12"/>
    </row>
    <row r="19" spans="3:8">
      <c r="C19" s="176" t="s">
        <v>155</v>
      </c>
      <c r="D19" s="10" t="s">
        <v>157</v>
      </c>
      <c r="E19" s="11">
        <v>7970.76</v>
      </c>
      <c r="F19" s="11" t="s">
        <v>38</v>
      </c>
      <c r="G19" s="11"/>
      <c r="H19" s="12"/>
    </row>
    <row r="20" spans="3:8">
      <c r="C20" s="176" t="s">
        <v>155</v>
      </c>
      <c r="D20" s="10" t="s">
        <v>158</v>
      </c>
      <c r="E20" s="11">
        <v>16996.14</v>
      </c>
      <c r="F20" s="11" t="s">
        <v>38</v>
      </c>
      <c r="G20" s="11"/>
      <c r="H20" s="12"/>
    </row>
    <row r="21" spans="3:8">
      <c r="C21" s="18" t="s">
        <v>29</v>
      </c>
      <c r="D21" s="19"/>
      <c r="E21" s="20"/>
      <c r="F21" s="20"/>
      <c r="G21" s="20"/>
      <c r="H21" s="21"/>
    </row>
    <row r="22" spans="3:8">
      <c r="C22" s="176" t="s">
        <v>159</v>
      </c>
      <c r="D22" s="10" t="s">
        <v>160</v>
      </c>
      <c r="E22" s="11">
        <v>12</v>
      </c>
      <c r="F22" s="11" t="s">
        <v>1</v>
      </c>
      <c r="G22" s="11"/>
      <c r="H22" s="12"/>
    </row>
    <row r="23" spans="3:8">
      <c r="C23" s="176" t="s">
        <v>159</v>
      </c>
      <c r="D23" s="10" t="s">
        <v>32</v>
      </c>
      <c r="E23" s="11">
        <v>48</v>
      </c>
      <c r="F23" s="11" t="s">
        <v>1</v>
      </c>
      <c r="G23" s="11"/>
      <c r="H23" s="12"/>
    </row>
    <row r="24" spans="3:8">
      <c r="C24" s="176" t="s">
        <v>159</v>
      </c>
      <c r="D24" s="10" t="s">
        <v>161</v>
      </c>
      <c r="E24" s="11">
        <v>4</v>
      </c>
      <c r="F24" s="11" t="s">
        <v>1</v>
      </c>
      <c r="G24" s="11"/>
      <c r="H24" s="12"/>
    </row>
    <row r="25" spans="3:8">
      <c r="C25" s="176" t="s">
        <v>159</v>
      </c>
      <c r="D25" s="10" t="s">
        <v>162</v>
      </c>
      <c r="E25" s="11">
        <v>2</v>
      </c>
      <c r="F25" s="11" t="s">
        <v>1</v>
      </c>
      <c r="G25" s="11"/>
      <c r="H25" s="12"/>
    </row>
    <row r="26" spans="3:8">
      <c r="C26" s="176" t="s">
        <v>159</v>
      </c>
      <c r="D26" s="10" t="s">
        <v>163</v>
      </c>
      <c r="E26" s="11">
        <v>9</v>
      </c>
      <c r="F26" s="11" t="s">
        <v>1</v>
      </c>
      <c r="G26" s="11"/>
      <c r="H26" s="12"/>
    </row>
    <row r="27" spans="3:8">
      <c r="C27" s="176" t="s">
        <v>159</v>
      </c>
      <c r="D27" s="10" t="s">
        <v>35</v>
      </c>
      <c r="E27" s="11">
        <v>93</v>
      </c>
      <c r="F27" s="11" t="s">
        <v>1</v>
      </c>
      <c r="G27" s="11"/>
      <c r="H27" s="12"/>
    </row>
    <row r="28" spans="3:8">
      <c r="C28" s="176" t="s">
        <v>164</v>
      </c>
      <c r="D28" s="10" t="s">
        <v>165</v>
      </c>
      <c r="E28" s="11">
        <v>2</v>
      </c>
      <c r="F28" s="11" t="s">
        <v>1</v>
      </c>
      <c r="G28" s="11">
        <f>10*10*E28</f>
        <v>200</v>
      </c>
      <c r="H28" s="12" t="s">
        <v>38</v>
      </c>
    </row>
    <row r="29" spans="3:8">
      <c r="C29" s="176"/>
      <c r="D29" s="10" t="s">
        <v>166</v>
      </c>
      <c r="E29" s="11">
        <v>2</v>
      </c>
      <c r="F29" s="11" t="s">
        <v>1</v>
      </c>
      <c r="G29" s="11">
        <f>10*12*E29</f>
        <v>240</v>
      </c>
      <c r="H29" s="12" t="s">
        <v>38</v>
      </c>
    </row>
    <row r="30" spans="3:8">
      <c r="C30" s="176"/>
      <c r="D30" s="10" t="s">
        <v>167</v>
      </c>
      <c r="E30" s="11">
        <v>1</v>
      </c>
      <c r="F30" s="11" t="s">
        <v>1</v>
      </c>
      <c r="G30" s="11">
        <f>12*9*E30</f>
        <v>108</v>
      </c>
      <c r="H30" s="12" t="s">
        <v>38</v>
      </c>
    </row>
    <row r="31" spans="3:8">
      <c r="C31" s="176"/>
      <c r="D31" s="10" t="s">
        <v>168</v>
      </c>
      <c r="E31" s="11">
        <v>1</v>
      </c>
      <c r="F31" s="11" t="s">
        <v>1</v>
      </c>
      <c r="G31" s="11">
        <f>12.833*9*E31</f>
        <v>115.497</v>
      </c>
      <c r="H31" s="12" t="s">
        <v>38</v>
      </c>
    </row>
    <row r="32" spans="3:8">
      <c r="C32" s="176"/>
      <c r="D32" s="10" t="s">
        <v>169</v>
      </c>
      <c r="E32" s="11">
        <v>1</v>
      </c>
      <c r="F32" s="11" t="s">
        <v>1</v>
      </c>
      <c r="G32" s="11">
        <f>12.167*15*E32</f>
        <v>182.505</v>
      </c>
      <c r="H32" s="12" t="s">
        <v>38</v>
      </c>
    </row>
    <row r="33" spans="3:8">
      <c r="C33" s="176"/>
      <c r="D33" s="10" t="s">
        <v>170</v>
      </c>
      <c r="E33" s="11">
        <v>1</v>
      </c>
      <c r="F33" s="11" t="s">
        <v>1</v>
      </c>
      <c r="G33" s="11">
        <f>12.417*9*E33</f>
        <v>111.753</v>
      </c>
      <c r="H33" s="12" t="s">
        <v>38</v>
      </c>
    </row>
    <row r="34" spans="3:8">
      <c r="C34" s="176"/>
      <c r="D34" s="10" t="s">
        <v>171</v>
      </c>
      <c r="E34" s="11">
        <v>1</v>
      </c>
      <c r="F34" s="11" t="s">
        <v>1</v>
      </c>
      <c r="G34" s="11">
        <f>13*17*E34</f>
        <v>221</v>
      </c>
      <c r="H34" s="12" t="s">
        <v>38</v>
      </c>
    </row>
    <row r="35" spans="3:8">
      <c r="C35" s="176"/>
      <c r="D35" s="10" t="s">
        <v>172</v>
      </c>
      <c r="E35" s="11">
        <v>2</v>
      </c>
      <c r="F35" s="11" t="s">
        <v>1</v>
      </c>
      <c r="G35" s="11">
        <f>14*15*E35</f>
        <v>420</v>
      </c>
      <c r="H35" s="12" t="s">
        <v>38</v>
      </c>
    </row>
    <row r="36" spans="3:8">
      <c r="C36" s="176"/>
      <c r="D36" s="10" t="s">
        <v>173</v>
      </c>
      <c r="E36" s="11">
        <v>2</v>
      </c>
      <c r="F36" s="11" t="s">
        <v>1</v>
      </c>
      <c r="G36" s="11">
        <f>16*9*E36</f>
        <v>288</v>
      </c>
      <c r="H36" s="12" t="s">
        <v>38</v>
      </c>
    </row>
    <row r="37" spans="3:8">
      <c r="C37" s="176"/>
      <c r="D37" s="10" t="s">
        <v>174</v>
      </c>
      <c r="E37" s="11">
        <v>4</v>
      </c>
      <c r="F37" s="11" t="s">
        <v>1</v>
      </c>
      <c r="G37" s="11">
        <f>17.33*9*E37</f>
        <v>623.88</v>
      </c>
      <c r="H37" s="12" t="s">
        <v>38</v>
      </c>
    </row>
    <row r="38" spans="3:8">
      <c r="C38" s="176"/>
      <c r="D38" s="10" t="s">
        <v>175</v>
      </c>
      <c r="E38" s="11">
        <v>1</v>
      </c>
      <c r="F38" s="11" t="s">
        <v>1</v>
      </c>
      <c r="G38" s="11">
        <f>19*11*E38</f>
        <v>209</v>
      </c>
      <c r="H38" s="12" t="s">
        <v>38</v>
      </c>
    </row>
    <row r="39" spans="3:8">
      <c r="C39" s="176"/>
      <c r="D39" s="10" t="s">
        <v>176</v>
      </c>
      <c r="E39" s="11">
        <v>10</v>
      </c>
      <c r="F39" s="11" t="s">
        <v>1</v>
      </c>
      <c r="G39" s="11">
        <f>2.833*9*E39</f>
        <v>254.97</v>
      </c>
      <c r="H39" s="12" t="s">
        <v>38</v>
      </c>
    </row>
    <row r="40" spans="3:8">
      <c r="C40" s="176"/>
      <c r="D40" s="10" t="s">
        <v>177</v>
      </c>
      <c r="E40" s="11">
        <v>17</v>
      </c>
      <c r="F40" s="11" t="s">
        <v>1</v>
      </c>
      <c r="G40" s="11">
        <f>4*9*E40</f>
        <v>612</v>
      </c>
      <c r="H40" s="12" t="s">
        <v>38</v>
      </c>
    </row>
    <row r="41" spans="3:8">
      <c r="C41" s="176"/>
      <c r="D41" s="10" t="s">
        <v>178</v>
      </c>
      <c r="E41" s="11">
        <v>2</v>
      </c>
      <c r="F41" s="11" t="s">
        <v>1</v>
      </c>
      <c r="G41" s="11">
        <f>40.583*10*E41</f>
        <v>811.66</v>
      </c>
      <c r="H41" s="12" t="s">
        <v>38</v>
      </c>
    </row>
    <row r="42" spans="3:8">
      <c r="C42" s="176"/>
      <c r="D42" s="10" t="s">
        <v>179</v>
      </c>
      <c r="E42" s="11">
        <v>2</v>
      </c>
      <c r="F42" s="11" t="s">
        <v>1</v>
      </c>
      <c r="G42" s="11">
        <f>40.583*14*E42</f>
        <v>1136.3240000000001</v>
      </c>
      <c r="H42" s="12" t="s">
        <v>38</v>
      </c>
    </row>
    <row r="43" spans="3:8">
      <c r="C43" s="176"/>
      <c r="D43" s="10" t="s">
        <v>180</v>
      </c>
      <c r="E43" s="11">
        <v>5</v>
      </c>
      <c r="F43" s="11" t="s">
        <v>1</v>
      </c>
      <c r="G43" s="11">
        <f>6.33*10*E43</f>
        <v>316.5</v>
      </c>
      <c r="H43" s="12" t="s">
        <v>38</v>
      </c>
    </row>
    <row r="44" spans="3:8">
      <c r="C44" s="176"/>
      <c r="D44" s="10" t="s">
        <v>181</v>
      </c>
      <c r="E44" s="11">
        <v>1</v>
      </c>
      <c r="F44" s="11" t="s">
        <v>1</v>
      </c>
      <c r="G44" s="11">
        <f>6.33*12*E44</f>
        <v>75.959999999999994</v>
      </c>
      <c r="H44" s="12" t="s">
        <v>38</v>
      </c>
    </row>
    <row r="45" spans="3:8">
      <c r="C45" s="176"/>
      <c r="D45" s="10" t="s">
        <v>182</v>
      </c>
      <c r="E45" s="11">
        <v>5</v>
      </c>
      <c r="F45" s="11" t="s">
        <v>1</v>
      </c>
      <c r="G45" s="11">
        <f>6.33*9*E45</f>
        <v>284.85000000000002</v>
      </c>
      <c r="H45" s="12" t="s">
        <v>38</v>
      </c>
    </row>
    <row r="46" spans="3:8">
      <c r="C46" s="176"/>
      <c r="D46" s="10" t="s">
        <v>183</v>
      </c>
      <c r="E46" s="11">
        <v>6</v>
      </c>
      <c r="F46" s="11" t="s">
        <v>1</v>
      </c>
      <c r="G46" s="11">
        <f>7*16.75*E46</f>
        <v>703.5</v>
      </c>
      <c r="H46" s="12" t="s">
        <v>38</v>
      </c>
    </row>
    <row r="47" spans="3:8">
      <c r="C47" s="176"/>
      <c r="D47" s="10" t="s">
        <v>184</v>
      </c>
      <c r="E47" s="11">
        <v>1</v>
      </c>
      <c r="F47" s="11" t="s">
        <v>1</v>
      </c>
      <c r="G47" s="11">
        <f>7.833*9*E47</f>
        <v>70.497</v>
      </c>
      <c r="H47" s="12" t="s">
        <v>38</v>
      </c>
    </row>
    <row r="48" spans="3:8">
      <c r="C48" s="176"/>
      <c r="D48" s="10" t="s">
        <v>185</v>
      </c>
      <c r="E48" s="11">
        <v>1</v>
      </c>
      <c r="F48" s="11" t="s">
        <v>1</v>
      </c>
      <c r="G48" s="11">
        <f>8*12*E48</f>
        <v>96</v>
      </c>
      <c r="H48" s="12" t="s">
        <v>38</v>
      </c>
    </row>
    <row r="49" spans="3:8">
      <c r="C49" s="176"/>
      <c r="D49" s="10" t="s">
        <v>186</v>
      </c>
      <c r="E49" s="11">
        <v>2</v>
      </c>
      <c r="F49" s="11" t="s">
        <v>1</v>
      </c>
      <c r="G49" s="11">
        <f>9.583*10*E49</f>
        <v>191.66</v>
      </c>
      <c r="H49" s="12" t="s">
        <v>38</v>
      </c>
    </row>
    <row r="50" spans="3:8">
      <c r="C50" s="176"/>
      <c r="D50" s="10" t="s">
        <v>187</v>
      </c>
      <c r="E50" s="11">
        <v>10</v>
      </c>
      <c r="F50" s="11" t="s">
        <v>1</v>
      </c>
      <c r="G50" s="11">
        <f>6.33*9.5*E50</f>
        <v>601.35</v>
      </c>
      <c r="H50" s="12" t="s">
        <v>38</v>
      </c>
    </row>
    <row r="51" spans="3:8">
      <c r="C51" s="176"/>
      <c r="D51" s="10" t="s">
        <v>188</v>
      </c>
      <c r="E51" s="11">
        <v>1</v>
      </c>
      <c r="F51" s="11" t="s">
        <v>1</v>
      </c>
      <c r="G51" s="11">
        <v>135</v>
      </c>
      <c r="H51" s="12" t="s">
        <v>38</v>
      </c>
    </row>
    <row r="52" spans="3:8">
      <c r="C52" s="176"/>
      <c r="D52" s="10" t="s">
        <v>189</v>
      </c>
      <c r="E52" s="11">
        <v>1</v>
      </c>
      <c r="F52" s="11" t="s">
        <v>1</v>
      </c>
      <c r="G52" s="11">
        <v>295</v>
      </c>
      <c r="H52" s="12" t="s">
        <v>38</v>
      </c>
    </row>
    <row r="53" spans="3:8">
      <c r="C53" s="9" t="s">
        <v>190</v>
      </c>
      <c r="D53" s="10" t="s">
        <v>191</v>
      </c>
      <c r="E53" s="11">
        <v>44.000399999999999</v>
      </c>
      <c r="F53" s="11" t="s">
        <v>47</v>
      </c>
      <c r="G53" s="11">
        <f>11*E53</f>
        <v>484.00439999999998</v>
      </c>
      <c r="H53" s="12" t="s">
        <v>38</v>
      </c>
    </row>
    <row r="54" spans="3:8">
      <c r="C54" s="176" t="s">
        <v>192</v>
      </c>
      <c r="D54" s="10" t="s">
        <v>193</v>
      </c>
      <c r="E54" s="11">
        <v>329</v>
      </c>
      <c r="F54" s="11" t="s">
        <v>1</v>
      </c>
      <c r="G54" s="11">
        <f>4*8*E54</f>
        <v>10528</v>
      </c>
      <c r="H54" s="12" t="s">
        <v>38</v>
      </c>
    </row>
    <row r="55" spans="3:8">
      <c r="C55" s="176" t="s">
        <v>192</v>
      </c>
      <c r="D55" s="10" t="s">
        <v>194</v>
      </c>
      <c r="E55" s="11">
        <v>5</v>
      </c>
      <c r="F55" s="11" t="s">
        <v>1</v>
      </c>
      <c r="G55" s="11">
        <f>5.833*8*E55</f>
        <v>233.32</v>
      </c>
      <c r="H55" s="12" t="s">
        <v>38</v>
      </c>
    </row>
    <row r="56" spans="3:8">
      <c r="C56" s="176" t="s">
        <v>192</v>
      </c>
      <c r="D56" s="10" t="s">
        <v>195</v>
      </c>
      <c r="E56" s="11">
        <v>3</v>
      </c>
      <c r="F56" s="11" t="s">
        <v>1</v>
      </c>
      <c r="G56" s="11">
        <f>6.33*10*E56</f>
        <v>189.9</v>
      </c>
      <c r="H56" s="12" t="s">
        <v>38</v>
      </c>
    </row>
    <row r="57" spans="3:8">
      <c r="C57" s="176" t="s">
        <v>192</v>
      </c>
      <c r="D57" s="10" t="s">
        <v>196</v>
      </c>
      <c r="E57" s="11">
        <v>1</v>
      </c>
      <c r="F57" s="11" t="s">
        <v>1</v>
      </c>
      <c r="G57" s="11">
        <f>3*5.5*E57</f>
        <v>16.5</v>
      </c>
      <c r="H57" s="12" t="s">
        <v>38</v>
      </c>
    </row>
    <row r="58" spans="3:8">
      <c r="C58" s="18" t="s">
        <v>36</v>
      </c>
      <c r="D58" s="19"/>
      <c r="E58" s="20"/>
      <c r="F58" s="20"/>
      <c r="G58" s="20"/>
      <c r="H58" s="21"/>
    </row>
    <row r="59" spans="3:8">
      <c r="C59" s="176" t="s">
        <v>197</v>
      </c>
      <c r="D59" s="10" t="s">
        <v>198</v>
      </c>
      <c r="E59" s="11">
        <v>9187.41</v>
      </c>
      <c r="F59" s="11" t="s">
        <v>38</v>
      </c>
      <c r="G59" s="11"/>
      <c r="H59" s="12"/>
    </row>
    <row r="60" spans="3:8">
      <c r="C60" s="176" t="s">
        <v>197</v>
      </c>
      <c r="D60" s="10" t="s">
        <v>199</v>
      </c>
      <c r="E60" s="11">
        <v>9719.7199999999993</v>
      </c>
      <c r="F60" s="11" t="s">
        <v>38</v>
      </c>
      <c r="G60" s="11"/>
      <c r="H60" s="12"/>
    </row>
    <row r="61" spans="3:8">
      <c r="C61" s="176" t="s">
        <v>200</v>
      </c>
      <c r="D61" s="10" t="s">
        <v>201</v>
      </c>
      <c r="E61" s="11">
        <v>5057.74</v>
      </c>
      <c r="F61" s="11" t="s">
        <v>38</v>
      </c>
      <c r="G61" s="11"/>
      <c r="H61" s="12"/>
    </row>
    <row r="62" spans="3:8">
      <c r="C62" s="176" t="s">
        <v>200</v>
      </c>
      <c r="D62" s="10" t="s">
        <v>202</v>
      </c>
      <c r="E62" s="11">
        <v>779</v>
      </c>
      <c r="F62" s="11" t="s">
        <v>38</v>
      </c>
      <c r="G62" s="11"/>
      <c r="H62" s="12"/>
    </row>
    <row r="63" spans="3:8">
      <c r="C63" s="176" t="s">
        <v>200</v>
      </c>
      <c r="D63" s="10" t="s">
        <v>203</v>
      </c>
      <c r="E63" s="11">
        <v>1939</v>
      </c>
      <c r="F63" s="11" t="s">
        <v>38</v>
      </c>
      <c r="G63" s="11"/>
      <c r="H63" s="12"/>
    </row>
    <row r="64" spans="3:8">
      <c r="C64" s="176" t="s">
        <v>200</v>
      </c>
      <c r="D64" s="10" t="s">
        <v>204</v>
      </c>
      <c r="E64" s="11">
        <v>19968.66</v>
      </c>
      <c r="F64" s="11" t="s">
        <v>38</v>
      </c>
      <c r="G64" s="11"/>
      <c r="H64" s="12"/>
    </row>
    <row r="65" spans="3:8">
      <c r="C65" s="176" t="s">
        <v>200</v>
      </c>
      <c r="D65" s="10" t="s">
        <v>205</v>
      </c>
      <c r="E65" s="11">
        <v>2179</v>
      </c>
      <c r="F65" s="11" t="s">
        <v>38</v>
      </c>
      <c r="G65" s="11"/>
      <c r="H65" s="12"/>
    </row>
    <row r="66" spans="3:8">
      <c r="C66" s="176" t="s">
        <v>48</v>
      </c>
      <c r="D66" s="10" t="s">
        <v>206</v>
      </c>
      <c r="E66" s="11">
        <v>2902.0320000000002</v>
      </c>
      <c r="F66" s="11" t="s">
        <v>47</v>
      </c>
      <c r="G66" s="11"/>
      <c r="H66" s="12"/>
    </row>
    <row r="67" spans="3:8">
      <c r="C67" s="176" t="s">
        <v>48</v>
      </c>
      <c r="D67" s="10" t="s">
        <v>207</v>
      </c>
      <c r="E67" s="11">
        <v>132.59</v>
      </c>
      <c r="F67" s="11" t="s">
        <v>47</v>
      </c>
      <c r="G67" s="11"/>
      <c r="H67" s="12"/>
    </row>
    <row r="68" spans="3:8">
      <c r="C68" s="176" t="s">
        <v>48</v>
      </c>
      <c r="D68" s="10" t="s">
        <v>208</v>
      </c>
      <c r="E68" s="11">
        <v>280.08030000000002</v>
      </c>
      <c r="F68" s="11" t="s">
        <v>47</v>
      </c>
      <c r="G68" s="11"/>
      <c r="H68" s="12"/>
    </row>
    <row r="69" spans="3:8">
      <c r="C69" s="176" t="s">
        <v>209</v>
      </c>
      <c r="D69" s="10" t="s">
        <v>210</v>
      </c>
      <c r="E69" s="11">
        <v>972.38</v>
      </c>
      <c r="F69" s="11" t="s">
        <v>47</v>
      </c>
      <c r="G69" s="11">
        <f>4*E69</f>
        <v>3889.52</v>
      </c>
      <c r="H69" s="12" t="s">
        <v>38</v>
      </c>
    </row>
    <row r="70" spans="3:8">
      <c r="C70" s="176" t="s">
        <v>209</v>
      </c>
      <c r="D70" s="10" t="s">
        <v>211</v>
      </c>
      <c r="E70" s="11">
        <v>236.13</v>
      </c>
      <c r="F70" s="11" t="s">
        <v>47</v>
      </c>
      <c r="G70" s="11">
        <f>4*E70</f>
        <v>944.52</v>
      </c>
      <c r="H70" s="12" t="s">
        <v>38</v>
      </c>
    </row>
    <row r="71" spans="3:8">
      <c r="C71" s="176" t="s">
        <v>209</v>
      </c>
      <c r="D71" s="10" t="s">
        <v>212</v>
      </c>
      <c r="E71" s="11">
        <v>286.39679999999998</v>
      </c>
      <c r="F71" s="11" t="s">
        <v>47</v>
      </c>
      <c r="G71" s="11">
        <f>8*E71</f>
        <v>2291.1743999999999</v>
      </c>
      <c r="H71" s="12" t="s">
        <v>38</v>
      </c>
    </row>
    <row r="72" spans="3:8">
      <c r="C72" s="176" t="s">
        <v>209</v>
      </c>
      <c r="D72" s="10" t="s">
        <v>213</v>
      </c>
      <c r="E72" s="11">
        <v>278.54000000000002</v>
      </c>
      <c r="F72" s="11" t="s">
        <v>47</v>
      </c>
      <c r="G72" s="11">
        <f>7*E72</f>
        <v>1949.78</v>
      </c>
      <c r="H72" s="12" t="s">
        <v>38</v>
      </c>
    </row>
    <row r="73" spans="3:8">
      <c r="C73" s="18" t="s">
        <v>214</v>
      </c>
      <c r="D73" s="19"/>
      <c r="E73" s="20"/>
      <c r="F73" s="20"/>
      <c r="G73" s="20"/>
      <c r="H73" s="21"/>
    </row>
    <row r="74" spans="3:8">
      <c r="C74" s="9" t="s">
        <v>215</v>
      </c>
      <c r="D74" s="10" t="s">
        <v>216</v>
      </c>
      <c r="E74" s="11">
        <v>18</v>
      </c>
      <c r="F74" s="11" t="s">
        <v>1</v>
      </c>
      <c r="G74" s="11">
        <f>5*14*E74</f>
        <v>1260</v>
      </c>
      <c r="H74" s="12" t="s">
        <v>38</v>
      </c>
    </row>
    <row r="75" spans="3:8">
      <c r="C75" s="9" t="s">
        <v>217</v>
      </c>
      <c r="D75" s="10" t="s">
        <v>217</v>
      </c>
      <c r="E75" s="11">
        <v>1</v>
      </c>
      <c r="F75" s="11" t="s">
        <v>1</v>
      </c>
      <c r="G75" s="11"/>
      <c r="H75" s="12"/>
    </row>
    <row r="76" spans="3:8">
      <c r="C76" s="9" t="s">
        <v>218</v>
      </c>
      <c r="D76" s="10" t="s">
        <v>219</v>
      </c>
      <c r="E76" s="11">
        <v>105.87</v>
      </c>
      <c r="F76" s="11" t="s">
        <v>47</v>
      </c>
      <c r="G76" s="11">
        <f>16*E76</f>
        <v>1693.92</v>
      </c>
      <c r="H76" s="12" t="s">
        <v>38</v>
      </c>
    </row>
    <row r="77" spans="3:8">
      <c r="C77" s="9" t="s">
        <v>220</v>
      </c>
      <c r="D77" s="10" t="s">
        <v>220</v>
      </c>
      <c r="E77" s="11">
        <v>8</v>
      </c>
      <c r="F77" s="11" t="s">
        <v>1</v>
      </c>
      <c r="G77" s="11"/>
      <c r="H77" s="12"/>
    </row>
    <row r="78" spans="3:8">
      <c r="C78" s="9" t="s">
        <v>221</v>
      </c>
      <c r="D78" s="10" t="s">
        <v>222</v>
      </c>
      <c r="E78" s="11">
        <v>173.97309999999999</v>
      </c>
      <c r="F78" s="11" t="s">
        <v>47</v>
      </c>
      <c r="G78" s="11">
        <f>9*E78</f>
        <v>1565.7579000000001</v>
      </c>
      <c r="H78" s="12" t="s">
        <v>38</v>
      </c>
    </row>
    <row r="79" spans="3:8">
      <c r="C79" s="9" t="s">
        <v>223</v>
      </c>
      <c r="D79" s="10" t="s">
        <v>223</v>
      </c>
      <c r="E79" s="11">
        <v>1</v>
      </c>
      <c r="F79" s="11" t="s">
        <v>1</v>
      </c>
      <c r="G79" s="11"/>
      <c r="H79" s="12"/>
    </row>
    <row r="80" spans="3:8">
      <c r="C80" s="9" t="s">
        <v>224</v>
      </c>
      <c r="D80" s="10" t="s">
        <v>225</v>
      </c>
      <c r="E80" s="11">
        <v>10</v>
      </c>
      <c r="F80" s="11" t="s">
        <v>47</v>
      </c>
      <c r="G80" s="11">
        <f>4*E80</f>
        <v>40</v>
      </c>
      <c r="H80" s="12" t="s">
        <v>38</v>
      </c>
    </row>
    <row r="81" spans="3:8">
      <c r="C81" s="9" t="s">
        <v>226</v>
      </c>
      <c r="D81" s="10" t="s">
        <v>227</v>
      </c>
      <c r="E81" s="11">
        <v>2587.21</v>
      </c>
      <c r="F81" s="11" t="s">
        <v>38</v>
      </c>
      <c r="G81" s="11"/>
      <c r="H81" s="12"/>
    </row>
    <row r="82" spans="3:8">
      <c r="C82" s="18" t="s">
        <v>228</v>
      </c>
      <c r="D82" s="19"/>
      <c r="E82" s="20"/>
      <c r="F82" s="20"/>
      <c r="G82" s="20"/>
      <c r="H82" s="21"/>
    </row>
    <row r="83" spans="3:8">
      <c r="C83" s="9" t="s">
        <v>229</v>
      </c>
      <c r="D83" s="10" t="s">
        <v>230</v>
      </c>
      <c r="E83" s="11">
        <v>3</v>
      </c>
      <c r="F83" s="11" t="s">
        <v>1</v>
      </c>
      <c r="G83" s="11"/>
      <c r="H83" s="12"/>
    </row>
    <row r="84" spans="3:8">
      <c r="C84" s="18" t="s">
        <v>231</v>
      </c>
      <c r="D84" s="19"/>
      <c r="E84" s="20"/>
      <c r="F84" s="20"/>
      <c r="G84" s="20"/>
      <c r="H84" s="21"/>
    </row>
    <row r="85" spans="3:8">
      <c r="C85" s="9" t="s">
        <v>232</v>
      </c>
      <c r="D85" s="10" t="s">
        <v>232</v>
      </c>
      <c r="E85" s="11">
        <v>815.79</v>
      </c>
      <c r="F85" s="11" t="s">
        <v>38</v>
      </c>
      <c r="G85" s="11"/>
      <c r="H85" s="12"/>
    </row>
    <row r="86" spans="3:8">
      <c r="C86" s="9" t="s">
        <v>233</v>
      </c>
      <c r="D86" s="10" t="s">
        <v>233</v>
      </c>
      <c r="E86" s="11">
        <v>8</v>
      </c>
      <c r="F86" s="11" t="s">
        <v>1</v>
      </c>
      <c r="G86" s="11"/>
      <c r="H86" s="12"/>
    </row>
    <row r="87" spans="3:8">
      <c r="C87" s="9" t="s">
        <v>190</v>
      </c>
      <c r="D87" s="10" t="s">
        <v>234</v>
      </c>
      <c r="E87" s="11">
        <v>31.2</v>
      </c>
      <c r="F87" s="11" t="s">
        <v>47</v>
      </c>
      <c r="G87" s="11"/>
      <c r="H87" s="12"/>
    </row>
    <row r="88" spans="3:8">
      <c r="C88" s="14" t="s">
        <v>235</v>
      </c>
      <c r="D88" s="15" t="s">
        <v>235</v>
      </c>
      <c r="E88" s="16">
        <v>9.68</v>
      </c>
      <c r="F88" s="16" t="s">
        <v>47</v>
      </c>
      <c r="G88" s="16"/>
      <c r="H88" s="17"/>
    </row>
  </sheetData>
  <mergeCells count="10">
    <mergeCell ref="C54:C57"/>
    <mergeCell ref="C59:C60"/>
    <mergeCell ref="C61:C65"/>
    <mergeCell ref="C66:C68"/>
    <mergeCell ref="C69:C72"/>
    <mergeCell ref="C3:H3"/>
    <mergeCell ref="C12:C13"/>
    <mergeCell ref="C18:C20"/>
    <mergeCell ref="C22:C27"/>
    <mergeCell ref="C28:C5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C5:H39"/>
  <sheetViews>
    <sheetView workbookViewId="0">
      <selection activeCell="M21" sqref="M21"/>
    </sheetView>
  </sheetViews>
  <sheetFormatPr defaultColWidth="8.85546875" defaultRowHeight="15"/>
  <cols>
    <col min="1" max="2" width="8.85546875" style="1"/>
    <col min="3" max="3" width="24.85546875" style="1" customWidth="1"/>
    <col min="4" max="4" width="38" style="1" customWidth="1"/>
    <col min="5" max="5" width="11.5703125" style="3" customWidth="1"/>
    <col min="6" max="6" width="6.140625" style="3" customWidth="1"/>
    <col min="7" max="7" width="12.85546875" style="3" customWidth="1"/>
    <col min="8" max="8" width="6.140625" style="3" customWidth="1"/>
    <col min="9" max="16384" width="8.85546875" style="1"/>
  </cols>
  <sheetData>
    <row r="5" spans="3:8" ht="15.75">
      <c r="C5" s="170" t="s">
        <v>236</v>
      </c>
      <c r="D5" s="174"/>
      <c r="E5" s="174"/>
      <c r="F5" s="174"/>
      <c r="G5" s="170"/>
      <c r="H5" s="175"/>
    </row>
    <row r="6" spans="3:8">
      <c r="C6" s="4" t="s">
        <v>77</v>
      </c>
      <c r="D6" s="4" t="s">
        <v>78</v>
      </c>
      <c r="E6" s="4" t="s">
        <v>79</v>
      </c>
      <c r="F6" s="4" t="s">
        <v>13</v>
      </c>
      <c r="G6" s="4" t="s">
        <v>80</v>
      </c>
      <c r="H6" s="5" t="s">
        <v>13</v>
      </c>
    </row>
    <row r="7" spans="3:8">
      <c r="C7" s="18" t="s">
        <v>137</v>
      </c>
      <c r="D7" s="19"/>
      <c r="E7" s="20"/>
      <c r="F7" s="20"/>
      <c r="G7" s="20"/>
      <c r="H7" s="21"/>
    </row>
    <row r="8" spans="3:8">
      <c r="C8" s="9" t="s">
        <v>237</v>
      </c>
      <c r="D8" s="10" t="s">
        <v>238</v>
      </c>
      <c r="E8" s="11">
        <v>21</v>
      </c>
      <c r="F8" s="11" t="s">
        <v>47</v>
      </c>
      <c r="G8" s="11"/>
      <c r="H8" s="12"/>
    </row>
    <row r="9" spans="3:8">
      <c r="C9" s="43"/>
      <c r="D9" s="44"/>
      <c r="E9" s="45"/>
      <c r="F9" s="45"/>
      <c r="G9" s="45"/>
      <c r="H9" s="46"/>
    </row>
    <row r="10" spans="3:8">
      <c r="C10" s="9" t="s">
        <v>237</v>
      </c>
      <c r="D10" s="10" t="s">
        <v>239</v>
      </c>
      <c r="E10" s="11">
        <v>808.30190000000005</v>
      </c>
      <c r="F10" s="11" t="s">
        <v>47</v>
      </c>
      <c r="G10" s="11"/>
      <c r="H10" s="12"/>
    </row>
    <row r="11" spans="3:8">
      <c r="C11" s="43"/>
      <c r="D11" s="44"/>
      <c r="E11" s="45"/>
      <c r="F11" s="45"/>
      <c r="G11" s="45"/>
      <c r="H11" s="46"/>
    </row>
    <row r="12" spans="3:8">
      <c r="C12" s="9" t="s">
        <v>237</v>
      </c>
      <c r="D12" s="10" t="s">
        <v>240</v>
      </c>
      <c r="E12" s="11">
        <v>4363.4456</v>
      </c>
      <c r="F12" s="11" t="s">
        <v>47</v>
      </c>
      <c r="G12" s="11"/>
      <c r="H12" s="12"/>
    </row>
    <row r="13" spans="3:8">
      <c r="C13" s="43"/>
      <c r="D13" s="44"/>
      <c r="E13" s="45"/>
      <c r="F13" s="45"/>
      <c r="G13" s="45"/>
      <c r="H13" s="46"/>
    </row>
    <row r="14" spans="3:8">
      <c r="C14" s="9" t="s">
        <v>237</v>
      </c>
      <c r="D14" s="10" t="s">
        <v>241</v>
      </c>
      <c r="E14" s="11">
        <v>134.34540000000001</v>
      </c>
      <c r="F14" s="11" t="s">
        <v>47</v>
      </c>
      <c r="G14" s="11"/>
      <c r="H14" s="12"/>
    </row>
    <row r="15" spans="3:8">
      <c r="C15" s="43"/>
      <c r="D15" s="44"/>
      <c r="E15" s="45"/>
      <c r="F15" s="45"/>
      <c r="G15" s="45"/>
      <c r="H15" s="46"/>
    </row>
    <row r="16" spans="3:8">
      <c r="C16" s="9" t="s">
        <v>237</v>
      </c>
      <c r="D16" s="10" t="s">
        <v>242</v>
      </c>
      <c r="E16" s="11">
        <v>1356.3647000000001</v>
      </c>
      <c r="F16" s="11" t="s">
        <v>47</v>
      </c>
      <c r="G16" s="11"/>
      <c r="H16" s="12"/>
    </row>
    <row r="17" spans="3:8">
      <c r="C17" s="43"/>
      <c r="D17" s="44"/>
      <c r="E17" s="45"/>
      <c r="F17" s="45"/>
      <c r="G17" s="45"/>
      <c r="H17" s="46"/>
    </row>
    <row r="18" spans="3:8">
      <c r="C18" s="9" t="s">
        <v>237</v>
      </c>
      <c r="D18" s="10" t="s">
        <v>243</v>
      </c>
      <c r="E18" s="11">
        <v>744.2</v>
      </c>
      <c r="F18" s="11" t="s">
        <v>47</v>
      </c>
      <c r="G18" s="11"/>
      <c r="H18" s="12"/>
    </row>
    <row r="19" spans="3:8">
      <c r="C19" s="43"/>
      <c r="D19" s="44"/>
      <c r="E19" s="45"/>
      <c r="F19" s="45"/>
      <c r="G19" s="45"/>
      <c r="H19" s="46"/>
    </row>
    <row r="20" spans="3:8">
      <c r="C20" s="9" t="s">
        <v>237</v>
      </c>
      <c r="D20" s="10" t="s">
        <v>244</v>
      </c>
      <c r="E20" s="11">
        <v>328.29</v>
      </c>
      <c r="F20" s="11" t="s">
        <v>47</v>
      </c>
      <c r="G20" s="11"/>
      <c r="H20" s="12"/>
    </row>
    <row r="21" spans="3:8">
      <c r="C21" s="43"/>
      <c r="D21" s="44"/>
      <c r="E21" s="45"/>
      <c r="F21" s="45"/>
      <c r="G21" s="45"/>
      <c r="H21" s="46"/>
    </row>
    <row r="22" spans="3:8">
      <c r="C22" s="9" t="s">
        <v>237</v>
      </c>
      <c r="D22" s="10" t="s">
        <v>245</v>
      </c>
      <c r="E22" s="11">
        <v>4413.5240999999996</v>
      </c>
      <c r="F22" s="11" t="s">
        <v>47</v>
      </c>
      <c r="G22" s="11"/>
      <c r="H22" s="12"/>
    </row>
    <row r="23" spans="3:8">
      <c r="C23" s="43"/>
      <c r="D23" s="44"/>
      <c r="E23" s="45"/>
      <c r="F23" s="45"/>
      <c r="G23" s="45"/>
      <c r="H23" s="46"/>
    </row>
    <row r="24" spans="3:8" s="42" customFormat="1">
      <c r="C24" s="47" t="s">
        <v>23</v>
      </c>
      <c r="D24" s="48" t="s">
        <v>246</v>
      </c>
      <c r="E24" s="49"/>
      <c r="F24" s="49"/>
      <c r="G24" s="49">
        <f>SUM(G26:G33)</f>
        <v>78015.855211700007</v>
      </c>
      <c r="H24" s="50" t="s">
        <v>38</v>
      </c>
    </row>
    <row r="25" spans="3:8">
      <c r="C25" s="43"/>
      <c r="D25" s="44"/>
      <c r="E25" s="45"/>
      <c r="F25" s="45"/>
      <c r="G25" s="45"/>
      <c r="H25" s="46"/>
    </row>
    <row r="26" spans="3:8">
      <c r="C26" s="177" t="s">
        <v>237</v>
      </c>
      <c r="D26" s="10" t="s">
        <v>247</v>
      </c>
      <c r="E26" s="11">
        <v>17.565100000000001</v>
      </c>
      <c r="F26" s="11" t="s">
        <v>47</v>
      </c>
      <c r="G26" s="11">
        <f>10.667*E26</f>
        <v>187.36692170000001</v>
      </c>
      <c r="H26" s="12" t="s">
        <v>38</v>
      </c>
    </row>
    <row r="27" spans="3:8">
      <c r="C27" s="178"/>
      <c r="D27" s="10" t="s">
        <v>248</v>
      </c>
      <c r="E27" s="11">
        <v>49.493400000000001</v>
      </c>
      <c r="F27" s="11" t="s">
        <v>47</v>
      </c>
      <c r="G27" s="11">
        <f>14*E27</f>
        <v>692.9076</v>
      </c>
      <c r="H27" s="12" t="s">
        <v>38</v>
      </c>
    </row>
    <row r="28" spans="3:8">
      <c r="C28" s="178"/>
      <c r="D28" s="10" t="s">
        <v>249</v>
      </c>
      <c r="E28" s="11">
        <v>209.0669</v>
      </c>
      <c r="F28" s="11" t="s">
        <v>47</v>
      </c>
      <c r="G28" s="11">
        <f>1.5*E28</f>
        <v>313.60034999999999</v>
      </c>
      <c r="H28" s="12" t="s">
        <v>38</v>
      </c>
    </row>
    <row r="29" spans="3:8">
      <c r="C29" s="178"/>
      <c r="D29" s="10" t="s">
        <v>250</v>
      </c>
      <c r="E29" s="11">
        <v>774.24950000000001</v>
      </c>
      <c r="F29" s="11" t="s">
        <v>47</v>
      </c>
      <c r="G29" s="11">
        <f>16*E29</f>
        <v>12387.992</v>
      </c>
      <c r="H29" s="12" t="s">
        <v>38</v>
      </c>
    </row>
    <row r="30" spans="3:8">
      <c r="C30" s="178"/>
      <c r="D30" s="10" t="s">
        <v>251</v>
      </c>
      <c r="E30" s="11">
        <v>126.57299999999999</v>
      </c>
      <c r="F30" s="11" t="s">
        <v>47</v>
      </c>
      <c r="G30" s="11">
        <f>18.667*E30</f>
        <v>2362.7381909999999</v>
      </c>
      <c r="H30" s="12" t="s">
        <v>38</v>
      </c>
    </row>
    <row r="31" spans="3:8">
      <c r="C31" s="178"/>
      <c r="D31" s="10" t="s">
        <v>252</v>
      </c>
      <c r="E31" s="11">
        <v>86</v>
      </c>
      <c r="F31" s="11" t="s">
        <v>47</v>
      </c>
      <c r="G31" s="11">
        <f>23.33*E31</f>
        <v>2006.38</v>
      </c>
      <c r="H31" s="12" t="s">
        <v>38</v>
      </c>
    </row>
    <row r="32" spans="3:8">
      <c r="C32" s="178"/>
      <c r="D32" s="10" t="s">
        <v>253</v>
      </c>
      <c r="E32" s="11">
        <v>226.05529999999999</v>
      </c>
      <c r="F32" s="11" t="s">
        <v>47</v>
      </c>
      <c r="G32" s="11">
        <f>23.33*E32</f>
        <v>5273.8701490000003</v>
      </c>
      <c r="H32" s="12" t="s">
        <v>38</v>
      </c>
    </row>
    <row r="33" spans="3:8">
      <c r="C33" s="179"/>
      <c r="D33" s="10" t="s">
        <v>254</v>
      </c>
      <c r="E33" s="11">
        <v>54791</v>
      </c>
      <c r="F33" s="11" t="s">
        <v>38</v>
      </c>
      <c r="G33" s="11">
        <f>E33</f>
        <v>54791</v>
      </c>
      <c r="H33" s="12" t="s">
        <v>38</v>
      </c>
    </row>
    <row r="34" spans="3:8">
      <c r="C34" s="43"/>
      <c r="D34" s="44"/>
      <c r="E34" s="45"/>
      <c r="F34" s="45"/>
      <c r="G34" s="45"/>
      <c r="H34" s="46"/>
    </row>
    <row r="35" spans="3:8" s="42" customFormat="1">
      <c r="C35" s="47" t="s">
        <v>23</v>
      </c>
      <c r="D35" s="48" t="s">
        <v>255</v>
      </c>
      <c r="E35" s="49"/>
      <c r="F35" s="49"/>
      <c r="G35" s="49">
        <f>SUM(G37:G39)</f>
        <v>1766</v>
      </c>
      <c r="H35" s="50" t="s">
        <v>38</v>
      </c>
    </row>
    <row r="36" spans="3:8">
      <c r="C36" s="43"/>
      <c r="D36" s="44"/>
      <c r="E36" s="45"/>
      <c r="F36" s="45"/>
      <c r="G36" s="45"/>
      <c r="H36" s="46"/>
    </row>
    <row r="37" spans="3:8">
      <c r="C37" s="176" t="s">
        <v>237</v>
      </c>
      <c r="D37" s="10" t="s">
        <v>256</v>
      </c>
      <c r="E37" s="11">
        <v>835</v>
      </c>
      <c r="F37" s="11" t="s">
        <v>38</v>
      </c>
      <c r="G37" s="11">
        <f>E37</f>
        <v>835</v>
      </c>
      <c r="H37" s="12" t="s">
        <v>38</v>
      </c>
    </row>
    <row r="38" spans="3:8">
      <c r="C38" s="176"/>
      <c r="D38" s="10" t="s">
        <v>257</v>
      </c>
      <c r="E38" s="11">
        <v>35.9</v>
      </c>
      <c r="F38" s="11" t="s">
        <v>47</v>
      </c>
      <c r="G38" s="11">
        <f>10*E38</f>
        <v>359</v>
      </c>
      <c r="H38" s="12" t="s">
        <v>38</v>
      </c>
    </row>
    <row r="39" spans="3:8">
      <c r="C39" s="180"/>
      <c r="D39" s="15" t="s">
        <v>258</v>
      </c>
      <c r="E39" s="16">
        <v>35.75</v>
      </c>
      <c r="F39" s="16" t="s">
        <v>47</v>
      </c>
      <c r="G39" s="16">
        <f>16*E39</f>
        <v>572</v>
      </c>
      <c r="H39" s="12" t="s">
        <v>38</v>
      </c>
    </row>
  </sheetData>
  <mergeCells count="3">
    <mergeCell ref="C5:H5"/>
    <mergeCell ref="C26:C33"/>
    <mergeCell ref="C37:C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3:H66"/>
  <sheetViews>
    <sheetView workbookViewId="0">
      <selection activeCell="C17" sqref="C17"/>
    </sheetView>
  </sheetViews>
  <sheetFormatPr defaultColWidth="10" defaultRowHeight="15"/>
  <cols>
    <col min="1" max="1" width="10" style="23"/>
    <col min="2" max="2" width="50.140625" style="22" customWidth="1"/>
    <col min="3" max="3" width="57.5703125" style="23" customWidth="1"/>
    <col min="4" max="16384" width="10" style="23"/>
  </cols>
  <sheetData>
    <row r="3" spans="2:8" ht="15.75">
      <c r="B3" s="170" t="s">
        <v>259</v>
      </c>
      <c r="C3" s="171"/>
      <c r="D3" s="171"/>
      <c r="E3" s="171"/>
    </row>
    <row r="4" spans="2:8" s="22" customFormat="1">
      <c r="B4" s="4" t="s">
        <v>77</v>
      </c>
      <c r="C4" s="4" t="s">
        <v>78</v>
      </c>
      <c r="D4" s="4" t="s">
        <v>79</v>
      </c>
      <c r="E4" s="4" t="s">
        <v>13</v>
      </c>
    </row>
    <row r="5" spans="2:8">
      <c r="B5" s="6" t="s">
        <v>51</v>
      </c>
      <c r="C5" s="7"/>
      <c r="D5" s="7"/>
      <c r="E5" s="7"/>
    </row>
    <row r="6" spans="2:8">
      <c r="B6" s="24" t="s">
        <v>260</v>
      </c>
      <c r="C6" s="25" t="s">
        <v>260</v>
      </c>
      <c r="D6" s="25">
        <v>1</v>
      </c>
      <c r="E6" s="26" t="s">
        <v>1</v>
      </c>
    </row>
    <row r="7" spans="2:8">
      <c r="B7" s="24"/>
      <c r="C7" s="25"/>
      <c r="D7" s="25"/>
      <c r="E7" s="26"/>
    </row>
    <row r="8" spans="2:8">
      <c r="B8" s="24" t="s">
        <v>261</v>
      </c>
      <c r="C8" s="25" t="s">
        <v>261</v>
      </c>
      <c r="D8" s="25">
        <v>1</v>
      </c>
      <c r="E8" s="26" t="s">
        <v>1</v>
      </c>
    </row>
    <row r="9" spans="2:8">
      <c r="B9" s="24"/>
      <c r="C9" s="25"/>
      <c r="D9" s="25"/>
      <c r="E9" s="26"/>
    </row>
    <row r="10" spans="2:8">
      <c r="B10" s="24" t="s">
        <v>262</v>
      </c>
      <c r="C10" s="25" t="s">
        <v>262</v>
      </c>
      <c r="D10" s="25">
        <v>1</v>
      </c>
      <c r="E10" s="26" t="s">
        <v>1</v>
      </c>
    </row>
    <row r="11" spans="2:8">
      <c r="B11" s="27"/>
      <c r="C11" s="28"/>
      <c r="D11" s="28"/>
      <c r="E11" s="29"/>
    </row>
    <row r="12" spans="2:8">
      <c r="B12" s="30" t="s">
        <v>263</v>
      </c>
      <c r="C12" s="31" t="s">
        <v>263</v>
      </c>
      <c r="D12" s="31">
        <v>1</v>
      </c>
      <c r="E12" s="32" t="s">
        <v>1</v>
      </c>
    </row>
    <row r="13" spans="2:8">
      <c r="B13" s="177" t="s">
        <v>264</v>
      </c>
      <c r="C13" s="25" t="s">
        <v>265</v>
      </c>
      <c r="D13" s="25">
        <v>1</v>
      </c>
      <c r="E13" s="26" t="s">
        <v>1</v>
      </c>
    </row>
    <row r="14" spans="2:8">
      <c r="B14" s="178"/>
      <c r="C14" s="25" t="s">
        <v>266</v>
      </c>
      <c r="D14" s="25">
        <v>1</v>
      </c>
      <c r="E14" s="26" t="s">
        <v>1</v>
      </c>
      <c r="F14" s="33"/>
      <c r="G14" s="33"/>
      <c r="H14" s="33"/>
    </row>
    <row r="15" spans="2:8">
      <c r="B15" s="179"/>
      <c r="C15" s="25" t="s">
        <v>267</v>
      </c>
      <c r="D15" s="25">
        <v>1</v>
      </c>
      <c r="E15" s="26" t="s">
        <v>1</v>
      </c>
      <c r="F15" s="33"/>
      <c r="G15" s="33"/>
      <c r="H15" s="33"/>
    </row>
    <row r="16" spans="2:8">
      <c r="B16" s="176" t="s">
        <v>52</v>
      </c>
      <c r="C16" s="10" t="s">
        <v>54</v>
      </c>
      <c r="D16" s="10">
        <v>27</v>
      </c>
      <c r="E16" s="34" t="s">
        <v>1</v>
      </c>
      <c r="F16" s="35"/>
      <c r="G16" s="35"/>
      <c r="H16" s="33"/>
    </row>
    <row r="17" spans="2:8">
      <c r="B17" s="176"/>
      <c r="C17" s="10" t="s">
        <v>268</v>
      </c>
      <c r="D17" s="10">
        <v>8</v>
      </c>
      <c r="E17" s="34" t="s">
        <v>1</v>
      </c>
      <c r="F17" s="35"/>
      <c r="G17" s="35"/>
      <c r="H17" s="33"/>
    </row>
    <row r="18" spans="2:8">
      <c r="B18" s="176"/>
      <c r="C18" s="10" t="s">
        <v>56</v>
      </c>
      <c r="D18" s="10">
        <v>27</v>
      </c>
      <c r="E18" s="34" t="s">
        <v>1</v>
      </c>
      <c r="F18" s="35"/>
      <c r="G18" s="35"/>
      <c r="H18" s="33"/>
    </row>
    <row r="19" spans="2:8">
      <c r="B19" s="6" t="s">
        <v>57</v>
      </c>
      <c r="C19" s="7"/>
      <c r="D19" s="7"/>
      <c r="E19" s="8"/>
      <c r="F19" s="33"/>
      <c r="G19" s="33"/>
      <c r="H19" s="33"/>
    </row>
    <row r="20" spans="2:8">
      <c r="B20" s="36" t="s">
        <v>269</v>
      </c>
      <c r="C20" s="37" t="s">
        <v>270</v>
      </c>
      <c r="D20" s="37">
        <v>2</v>
      </c>
      <c r="E20" s="38" t="s">
        <v>1</v>
      </c>
      <c r="F20" s="33"/>
      <c r="G20" s="33"/>
      <c r="H20" s="33"/>
    </row>
    <row r="21" spans="2:8">
      <c r="B21" s="39"/>
      <c r="C21" s="40"/>
      <c r="D21" s="40"/>
      <c r="E21" s="41"/>
    </row>
    <row r="22" spans="2:8">
      <c r="B22" s="24" t="s">
        <v>271</v>
      </c>
      <c r="C22" s="25" t="s">
        <v>272</v>
      </c>
      <c r="D22" s="25">
        <v>1</v>
      </c>
      <c r="E22" s="26" t="s">
        <v>1</v>
      </c>
    </row>
    <row r="23" spans="2:8">
      <c r="B23" s="24"/>
      <c r="C23" s="25"/>
      <c r="D23" s="25"/>
      <c r="E23" s="26"/>
    </row>
    <row r="24" spans="2:8">
      <c r="B24" s="24" t="s">
        <v>273</v>
      </c>
      <c r="C24" s="25" t="s">
        <v>273</v>
      </c>
      <c r="D24" s="25">
        <v>6</v>
      </c>
      <c r="E24" s="26" t="s">
        <v>1</v>
      </c>
    </row>
    <row r="25" spans="2:8">
      <c r="B25" s="24"/>
      <c r="C25" s="25"/>
      <c r="D25" s="25"/>
      <c r="E25" s="26"/>
    </row>
    <row r="26" spans="2:8">
      <c r="B26" s="24" t="s">
        <v>274</v>
      </c>
      <c r="C26" s="25" t="s">
        <v>275</v>
      </c>
      <c r="D26" s="25">
        <v>1</v>
      </c>
      <c r="E26" s="26" t="s">
        <v>1</v>
      </c>
    </row>
    <row r="27" spans="2:8">
      <c r="B27" s="24"/>
      <c r="C27" s="25"/>
      <c r="D27" s="25"/>
      <c r="E27" s="26"/>
    </row>
    <row r="28" spans="2:8">
      <c r="B28" s="24" t="s">
        <v>276</v>
      </c>
      <c r="C28" s="25" t="s">
        <v>277</v>
      </c>
      <c r="D28" s="25">
        <v>4</v>
      </c>
      <c r="E28" s="26" t="s">
        <v>1</v>
      </c>
    </row>
    <row r="29" spans="2:8">
      <c r="B29" s="24"/>
      <c r="C29" s="25"/>
      <c r="D29" s="25"/>
      <c r="E29" s="26"/>
    </row>
    <row r="30" spans="2:8">
      <c r="B30" s="24" t="s">
        <v>278</v>
      </c>
      <c r="C30" s="25" t="s">
        <v>279</v>
      </c>
      <c r="D30" s="25">
        <v>30</v>
      </c>
      <c r="E30" s="26" t="s">
        <v>1</v>
      </c>
    </row>
    <row r="31" spans="2:8">
      <c r="B31" s="177" t="s">
        <v>280</v>
      </c>
      <c r="C31" s="25" t="s">
        <v>281</v>
      </c>
      <c r="D31" s="25">
        <v>1</v>
      </c>
      <c r="E31" s="26" t="s">
        <v>1</v>
      </c>
    </row>
    <row r="32" spans="2:8">
      <c r="B32" s="178"/>
      <c r="C32" s="25" t="s">
        <v>282</v>
      </c>
      <c r="D32" s="25">
        <v>1</v>
      </c>
      <c r="E32" s="26" t="s">
        <v>1</v>
      </c>
    </row>
    <row r="33" spans="2:5">
      <c r="B33" s="178"/>
      <c r="C33" s="25" t="s">
        <v>283</v>
      </c>
      <c r="D33" s="25">
        <v>1</v>
      </c>
      <c r="E33" s="26" t="s">
        <v>1</v>
      </c>
    </row>
    <row r="34" spans="2:5">
      <c r="B34" s="178"/>
      <c r="C34" s="25" t="s">
        <v>284</v>
      </c>
      <c r="D34" s="25">
        <v>1</v>
      </c>
      <c r="E34" s="26" t="s">
        <v>1</v>
      </c>
    </row>
    <row r="35" spans="2:5">
      <c r="B35" s="178"/>
      <c r="C35" s="25" t="s">
        <v>285</v>
      </c>
      <c r="D35" s="25">
        <v>1</v>
      </c>
      <c r="E35" s="26" t="s">
        <v>1</v>
      </c>
    </row>
    <row r="36" spans="2:5">
      <c r="B36" s="179"/>
      <c r="C36" s="25" t="s">
        <v>286</v>
      </c>
      <c r="D36" s="25">
        <v>1</v>
      </c>
      <c r="E36" s="26" t="s">
        <v>1</v>
      </c>
    </row>
    <row r="37" spans="2:5">
      <c r="B37" s="13"/>
      <c r="C37" s="25"/>
      <c r="D37" s="25"/>
      <c r="E37" s="26"/>
    </row>
    <row r="38" spans="2:5">
      <c r="B38" s="24" t="s">
        <v>287</v>
      </c>
      <c r="C38" s="25" t="s">
        <v>288</v>
      </c>
      <c r="D38" s="25">
        <v>2</v>
      </c>
      <c r="E38" s="26" t="s">
        <v>1</v>
      </c>
    </row>
    <row r="39" spans="2:5">
      <c r="B39" s="24"/>
      <c r="C39" s="25"/>
      <c r="D39" s="25"/>
      <c r="E39" s="26"/>
    </row>
    <row r="40" spans="2:5">
      <c r="B40" s="24" t="s">
        <v>289</v>
      </c>
      <c r="C40" s="25" t="s">
        <v>290</v>
      </c>
      <c r="D40" s="25">
        <v>7</v>
      </c>
      <c r="E40" s="26" t="s">
        <v>1</v>
      </c>
    </row>
    <row r="41" spans="2:5">
      <c r="B41" s="24"/>
      <c r="C41" s="25"/>
      <c r="D41" s="25"/>
      <c r="E41" s="26"/>
    </row>
    <row r="42" spans="2:5">
      <c r="B42" s="24" t="s">
        <v>291</v>
      </c>
      <c r="C42" s="25" t="s">
        <v>292</v>
      </c>
      <c r="D42" s="25">
        <v>2</v>
      </c>
      <c r="E42" s="26" t="s">
        <v>1</v>
      </c>
    </row>
    <row r="43" spans="2:5">
      <c r="B43" s="6" t="s">
        <v>60</v>
      </c>
      <c r="C43" s="7"/>
      <c r="D43" s="7"/>
      <c r="E43" s="7"/>
    </row>
    <row r="44" spans="2:5">
      <c r="B44" s="24" t="s">
        <v>293</v>
      </c>
      <c r="C44" s="25" t="s">
        <v>293</v>
      </c>
      <c r="D44" s="25">
        <v>1</v>
      </c>
      <c r="E44" s="26" t="s">
        <v>1</v>
      </c>
    </row>
    <row r="45" spans="2:5">
      <c r="B45" s="24"/>
      <c r="C45" s="25"/>
      <c r="D45" s="25"/>
      <c r="E45" s="26"/>
    </row>
    <row r="46" spans="2:5">
      <c r="B46" s="24" t="s">
        <v>294</v>
      </c>
      <c r="C46" s="25" t="s">
        <v>295</v>
      </c>
      <c r="D46" s="25">
        <v>1</v>
      </c>
      <c r="E46" s="26" t="s">
        <v>296</v>
      </c>
    </row>
    <row r="47" spans="2:5">
      <c r="B47" s="24"/>
      <c r="C47" s="25"/>
      <c r="D47" s="25"/>
      <c r="E47" s="26"/>
    </row>
    <row r="48" spans="2:5">
      <c r="B48" s="24" t="s">
        <v>297</v>
      </c>
      <c r="C48" s="25" t="s">
        <v>298</v>
      </c>
      <c r="D48" s="25">
        <v>1</v>
      </c>
      <c r="E48" s="26" t="s">
        <v>1</v>
      </c>
    </row>
    <row r="49" spans="2:5">
      <c r="B49" s="24"/>
      <c r="C49" s="25"/>
      <c r="D49" s="25"/>
      <c r="E49" s="26"/>
    </row>
    <row r="50" spans="2:5">
      <c r="B50" s="24" t="s">
        <v>62</v>
      </c>
      <c r="C50" s="25" t="s">
        <v>62</v>
      </c>
      <c r="D50" s="25">
        <v>41</v>
      </c>
      <c r="E50" s="26" t="s">
        <v>1</v>
      </c>
    </row>
    <row r="51" spans="2:5">
      <c r="B51" s="24"/>
      <c r="C51" s="25"/>
      <c r="D51" s="25"/>
      <c r="E51" s="26"/>
    </row>
    <row r="52" spans="2:5">
      <c r="B52" s="24" t="s">
        <v>299</v>
      </c>
      <c r="C52" s="25" t="s">
        <v>299</v>
      </c>
      <c r="D52" s="25">
        <v>1</v>
      </c>
      <c r="E52" s="26" t="s">
        <v>1</v>
      </c>
    </row>
    <row r="53" spans="2:5">
      <c r="B53" s="24"/>
      <c r="C53" s="25"/>
      <c r="D53" s="25"/>
      <c r="E53" s="26"/>
    </row>
    <row r="54" spans="2:5">
      <c r="B54" s="24" t="s">
        <v>300</v>
      </c>
      <c r="C54" s="25" t="s">
        <v>301</v>
      </c>
      <c r="D54" s="25">
        <v>16</v>
      </c>
      <c r="E54" s="26" t="s">
        <v>1</v>
      </c>
    </row>
    <row r="55" spans="2:5">
      <c r="B55" s="24"/>
      <c r="C55" s="25"/>
      <c r="D55" s="25"/>
      <c r="E55" s="26"/>
    </row>
    <row r="56" spans="2:5">
      <c r="B56" s="24" t="s">
        <v>302</v>
      </c>
      <c r="C56" s="25" t="s">
        <v>302</v>
      </c>
      <c r="D56" s="25">
        <v>1</v>
      </c>
      <c r="E56" s="26" t="s">
        <v>1</v>
      </c>
    </row>
    <row r="57" spans="2:5">
      <c r="B57" s="6" t="s">
        <v>303</v>
      </c>
      <c r="C57" s="7"/>
      <c r="D57" s="7"/>
      <c r="E57" s="7"/>
    </row>
    <row r="58" spans="2:5">
      <c r="B58" s="24" t="s">
        <v>304</v>
      </c>
      <c r="C58" s="25" t="s">
        <v>304</v>
      </c>
      <c r="D58" s="25">
        <v>6</v>
      </c>
      <c r="E58" s="26" t="s">
        <v>1</v>
      </c>
    </row>
    <row r="59" spans="2:5">
      <c r="B59" s="24"/>
      <c r="C59" s="25"/>
      <c r="D59" s="25"/>
      <c r="E59" s="26"/>
    </row>
    <row r="60" spans="2:5">
      <c r="B60" s="24" t="s">
        <v>305</v>
      </c>
      <c r="C60" s="25" t="s">
        <v>306</v>
      </c>
      <c r="D60" s="25">
        <v>1</v>
      </c>
      <c r="E60" s="26" t="s">
        <v>1</v>
      </c>
    </row>
    <row r="61" spans="2:5">
      <c r="B61" s="24"/>
      <c r="C61" s="25"/>
      <c r="D61" s="25"/>
      <c r="E61" s="26"/>
    </row>
    <row r="62" spans="2:5">
      <c r="B62" s="24" t="s">
        <v>307</v>
      </c>
      <c r="C62" s="25" t="s">
        <v>308</v>
      </c>
      <c r="D62" s="25">
        <v>1</v>
      </c>
      <c r="E62" s="26" t="s">
        <v>1</v>
      </c>
    </row>
    <row r="63" spans="2:5">
      <c r="B63" s="24"/>
      <c r="C63" s="25"/>
      <c r="D63" s="25"/>
      <c r="E63" s="26"/>
    </row>
    <row r="64" spans="2:5">
      <c r="B64" s="24" t="s">
        <v>309</v>
      </c>
      <c r="C64" s="25" t="s">
        <v>310</v>
      </c>
      <c r="D64" s="25">
        <v>4</v>
      </c>
      <c r="E64" s="26" t="s">
        <v>1</v>
      </c>
    </row>
    <row r="65" spans="2:5">
      <c r="B65" s="27"/>
      <c r="C65" s="28"/>
      <c r="D65" s="28"/>
      <c r="E65" s="29"/>
    </row>
    <row r="66" spans="2:5">
      <c r="B66" s="36" t="s">
        <v>311</v>
      </c>
      <c r="C66" s="37" t="s">
        <v>312</v>
      </c>
      <c r="D66" s="37">
        <v>4</v>
      </c>
      <c r="E66" s="38" t="s">
        <v>1</v>
      </c>
    </row>
  </sheetData>
  <mergeCells count="4">
    <mergeCell ref="B3:E3"/>
    <mergeCell ref="B13:B15"/>
    <mergeCell ref="B16:B18"/>
    <mergeCell ref="B31:B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1454817346722"/>
  </sheetPr>
  <dimension ref="D2:I70"/>
  <sheetViews>
    <sheetView workbookViewId="0">
      <selection activeCell="D4" sqref="D4:I4"/>
    </sheetView>
  </sheetViews>
  <sheetFormatPr defaultColWidth="10" defaultRowHeight="15"/>
  <cols>
    <col min="1" max="3" width="10" style="1"/>
    <col min="4" max="4" width="34.42578125" style="2" customWidth="1"/>
    <col min="5" max="5" width="66" style="1" customWidth="1"/>
    <col min="6" max="6" width="10.140625" style="3" customWidth="1"/>
    <col min="7" max="7" width="5.140625" style="3" customWidth="1"/>
    <col min="8" max="8" width="10.140625" style="3" customWidth="1"/>
    <col min="9" max="9" width="5.140625" style="3" customWidth="1"/>
    <col min="10" max="16384" width="10" style="1"/>
  </cols>
  <sheetData>
    <row r="2" spans="4:9" ht="15.75">
      <c r="D2" s="170" t="s">
        <v>313</v>
      </c>
      <c r="E2" s="171"/>
      <c r="F2" s="171"/>
      <c r="G2" s="171"/>
      <c r="H2" s="170"/>
      <c r="I2" s="171"/>
    </row>
    <row r="3" spans="4:9">
      <c r="D3" s="4" t="s">
        <v>77</v>
      </c>
      <c r="E3" s="4" t="s">
        <v>78</v>
      </c>
      <c r="F3" s="4" t="s">
        <v>79</v>
      </c>
      <c r="G3" s="4" t="s">
        <v>13</v>
      </c>
      <c r="H3" s="4" t="s">
        <v>80</v>
      </c>
      <c r="I3" s="4" t="s">
        <v>13</v>
      </c>
    </row>
    <row r="4" spans="4:9">
      <c r="D4" s="18" t="s">
        <v>314</v>
      </c>
      <c r="E4" s="19"/>
      <c r="F4" s="20"/>
      <c r="G4" s="20"/>
      <c r="H4" s="20"/>
      <c r="I4" s="21"/>
    </row>
    <row r="5" spans="4:9">
      <c r="D5" s="177" t="s">
        <v>315</v>
      </c>
      <c r="E5" s="10" t="s">
        <v>316</v>
      </c>
      <c r="F5" s="11">
        <v>1</v>
      </c>
      <c r="G5" s="11" t="s">
        <v>1</v>
      </c>
      <c r="H5" s="11"/>
      <c r="I5" s="12"/>
    </row>
    <row r="6" spans="4:9">
      <c r="D6" s="178"/>
      <c r="E6" s="10" t="s">
        <v>317</v>
      </c>
      <c r="F6" s="11">
        <v>11</v>
      </c>
      <c r="G6" s="11" t="s">
        <v>1</v>
      </c>
      <c r="H6" s="11"/>
      <c r="I6" s="12"/>
    </row>
    <row r="7" spans="4:9">
      <c r="D7" s="178"/>
      <c r="E7" s="10" t="s">
        <v>318</v>
      </c>
      <c r="F7" s="11">
        <v>1792.76</v>
      </c>
      <c r="G7" s="11" t="s">
        <v>47</v>
      </c>
      <c r="H7" s="11"/>
      <c r="I7" s="12"/>
    </row>
    <row r="8" spans="4:9">
      <c r="D8" s="178"/>
      <c r="E8" s="10" t="s">
        <v>319</v>
      </c>
      <c r="F8" s="11">
        <v>13091</v>
      </c>
      <c r="G8" s="11" t="s">
        <v>38</v>
      </c>
      <c r="H8" s="11"/>
      <c r="I8" s="12"/>
    </row>
    <row r="9" spans="4:9">
      <c r="D9" s="178"/>
      <c r="E9" s="10" t="s">
        <v>320</v>
      </c>
      <c r="F9" s="11">
        <v>496.71</v>
      </c>
      <c r="G9" s="11" t="s">
        <v>47</v>
      </c>
      <c r="H9" s="11"/>
      <c r="I9" s="12"/>
    </row>
    <row r="10" spans="4:9">
      <c r="D10" s="178"/>
      <c r="E10" s="10" t="s">
        <v>321</v>
      </c>
      <c r="F10" s="11">
        <v>1</v>
      </c>
      <c r="G10" s="11" t="s">
        <v>1</v>
      </c>
      <c r="H10" s="11"/>
      <c r="I10" s="12"/>
    </row>
    <row r="11" spans="4:9">
      <c r="D11" s="178"/>
      <c r="E11" s="10" t="s">
        <v>322</v>
      </c>
      <c r="F11" s="11">
        <v>56462</v>
      </c>
      <c r="G11" s="11" t="s">
        <v>38</v>
      </c>
      <c r="H11" s="11"/>
      <c r="I11" s="12"/>
    </row>
    <row r="12" spans="4:9">
      <c r="D12" s="178"/>
      <c r="E12" s="10" t="s">
        <v>323</v>
      </c>
      <c r="F12" s="11">
        <v>11.31</v>
      </c>
      <c r="G12" s="11" t="s">
        <v>47</v>
      </c>
      <c r="H12" s="11"/>
      <c r="I12" s="12"/>
    </row>
    <row r="13" spans="4:9">
      <c r="D13" s="178"/>
      <c r="E13" s="10" t="s">
        <v>324</v>
      </c>
      <c r="F13" s="11">
        <v>1</v>
      </c>
      <c r="G13" s="11" t="s">
        <v>1</v>
      </c>
      <c r="H13" s="11"/>
      <c r="I13" s="12"/>
    </row>
    <row r="14" spans="4:9">
      <c r="D14" s="178"/>
      <c r="E14" s="10" t="s">
        <v>325</v>
      </c>
      <c r="F14" s="11">
        <v>1179</v>
      </c>
      <c r="G14" s="11" t="s">
        <v>38</v>
      </c>
      <c r="H14" s="11"/>
      <c r="I14" s="12"/>
    </row>
    <row r="15" spans="4:9">
      <c r="D15" s="178"/>
      <c r="E15" s="10" t="s">
        <v>326</v>
      </c>
      <c r="F15" s="11">
        <v>19</v>
      </c>
      <c r="G15" s="11" t="s">
        <v>1</v>
      </c>
      <c r="H15" s="11"/>
      <c r="I15" s="12"/>
    </row>
    <row r="16" spans="4:9">
      <c r="D16" s="178"/>
      <c r="E16" s="10" t="s">
        <v>327</v>
      </c>
      <c r="F16" s="11">
        <v>16</v>
      </c>
      <c r="G16" s="11" t="s">
        <v>1</v>
      </c>
      <c r="H16" s="11"/>
      <c r="I16" s="12"/>
    </row>
    <row r="17" spans="4:9">
      <c r="D17" s="178"/>
      <c r="E17" s="10" t="s">
        <v>328</v>
      </c>
      <c r="F17" s="11">
        <v>163.29</v>
      </c>
      <c r="G17" s="11" t="s">
        <v>47</v>
      </c>
      <c r="H17" s="11"/>
      <c r="I17" s="12"/>
    </row>
    <row r="18" spans="4:9">
      <c r="D18" s="178"/>
      <c r="E18" s="10" t="s">
        <v>329</v>
      </c>
      <c r="F18" s="11">
        <v>190.35</v>
      </c>
      <c r="G18" s="11" t="s">
        <v>47</v>
      </c>
      <c r="H18" s="11"/>
      <c r="I18" s="12"/>
    </row>
    <row r="19" spans="4:9">
      <c r="D19" s="178"/>
      <c r="E19" s="10" t="s">
        <v>330</v>
      </c>
      <c r="F19" s="11">
        <v>1</v>
      </c>
      <c r="G19" s="11" t="s">
        <v>1</v>
      </c>
      <c r="H19" s="11"/>
      <c r="I19" s="12"/>
    </row>
    <row r="20" spans="4:9">
      <c r="D20" s="179"/>
      <c r="E20" s="10" t="s">
        <v>331</v>
      </c>
      <c r="F20" s="11">
        <v>3676</v>
      </c>
      <c r="G20" s="11" t="s">
        <v>38</v>
      </c>
      <c r="H20" s="11"/>
      <c r="I20" s="12"/>
    </row>
    <row r="21" spans="4:9">
      <c r="D21" s="18" t="s">
        <v>81</v>
      </c>
      <c r="E21" s="19"/>
      <c r="F21" s="20"/>
      <c r="G21" s="20"/>
      <c r="H21" s="20"/>
      <c r="I21" s="21"/>
    </row>
    <row r="22" spans="4:9">
      <c r="D22" s="9" t="s">
        <v>332</v>
      </c>
      <c r="E22" s="10" t="s">
        <v>333</v>
      </c>
      <c r="F22" s="11">
        <v>168.74</v>
      </c>
      <c r="G22" s="11" t="s">
        <v>47</v>
      </c>
      <c r="H22" s="11">
        <f>0.75*1*F22/27</f>
        <v>4.6872222222222204</v>
      </c>
      <c r="I22" s="12" t="s">
        <v>84</v>
      </c>
    </row>
    <row r="23" spans="4:9">
      <c r="D23" s="9" t="s">
        <v>334</v>
      </c>
      <c r="E23" s="10" t="s">
        <v>335</v>
      </c>
      <c r="F23" s="11">
        <v>867</v>
      </c>
      <c r="G23" s="11" t="s">
        <v>38</v>
      </c>
      <c r="H23" s="11">
        <f>0.5*F23/27</f>
        <v>16.0555555555556</v>
      </c>
      <c r="I23" s="12" t="s">
        <v>84</v>
      </c>
    </row>
    <row r="24" spans="4:9">
      <c r="D24" s="177" t="s">
        <v>336</v>
      </c>
      <c r="E24" s="10" t="s">
        <v>337</v>
      </c>
      <c r="F24" s="11">
        <v>1009</v>
      </c>
      <c r="G24" s="11" t="s">
        <v>38</v>
      </c>
      <c r="H24" s="11">
        <f t="shared" ref="H24:H26" si="0">0.417*F24/27</f>
        <v>15.5834444444444</v>
      </c>
      <c r="I24" s="12" t="s">
        <v>84</v>
      </c>
    </row>
    <row r="25" spans="4:9">
      <c r="D25" s="178"/>
      <c r="E25" s="10" t="s">
        <v>338</v>
      </c>
      <c r="F25" s="11">
        <f>695+160</f>
        <v>855</v>
      </c>
      <c r="G25" s="11" t="s">
        <v>38</v>
      </c>
      <c r="H25" s="11">
        <f t="shared" si="0"/>
        <v>13.205</v>
      </c>
      <c r="I25" s="12" t="s">
        <v>84</v>
      </c>
    </row>
    <row r="26" spans="4:9">
      <c r="D26" s="178"/>
      <c r="E26" s="10" t="s">
        <v>337</v>
      </c>
      <c r="F26" s="11">
        <v>1009</v>
      </c>
      <c r="G26" s="11" t="s">
        <v>38</v>
      </c>
      <c r="H26" s="11">
        <f t="shared" si="0"/>
        <v>15.5834444444444</v>
      </c>
      <c r="I26" s="12" t="s">
        <v>84</v>
      </c>
    </row>
    <row r="27" spans="4:9">
      <c r="D27" s="9" t="s">
        <v>339</v>
      </c>
      <c r="E27" s="10" t="s">
        <v>340</v>
      </c>
      <c r="F27" s="11">
        <v>1044</v>
      </c>
      <c r="G27" s="11" t="s">
        <v>38</v>
      </c>
      <c r="H27" s="11">
        <f>1*F27/27</f>
        <v>38.6666666666667</v>
      </c>
      <c r="I27" s="12" t="s">
        <v>84</v>
      </c>
    </row>
    <row r="28" spans="4:9">
      <c r="D28" s="9" t="s">
        <v>341</v>
      </c>
      <c r="E28" s="10" t="s">
        <v>342</v>
      </c>
      <c r="F28" s="11">
        <v>111</v>
      </c>
      <c r="G28" s="11" t="s">
        <v>38</v>
      </c>
      <c r="H28" s="11">
        <f>0.333*F28/27</f>
        <v>1.369</v>
      </c>
      <c r="I28" s="12" t="s">
        <v>84</v>
      </c>
    </row>
    <row r="29" spans="4:9">
      <c r="D29" s="18" t="s">
        <v>343</v>
      </c>
      <c r="E29" s="19"/>
      <c r="F29" s="20"/>
      <c r="G29" s="20"/>
      <c r="H29" s="20"/>
      <c r="I29" s="21"/>
    </row>
    <row r="30" spans="4:9">
      <c r="D30" s="9" t="s">
        <v>344</v>
      </c>
      <c r="E30" s="10" t="s">
        <v>344</v>
      </c>
      <c r="F30" s="11">
        <v>75</v>
      </c>
      <c r="G30" s="11" t="s">
        <v>38</v>
      </c>
      <c r="H30" s="11"/>
      <c r="I30" s="12"/>
    </row>
    <row r="31" spans="4:9">
      <c r="D31" s="9" t="s">
        <v>345</v>
      </c>
      <c r="E31" s="10" t="s">
        <v>346</v>
      </c>
      <c r="F31" s="11">
        <v>14</v>
      </c>
      <c r="G31" s="11" t="s">
        <v>1</v>
      </c>
      <c r="H31" s="11"/>
      <c r="I31" s="12"/>
    </row>
    <row r="32" spans="4:9">
      <c r="D32" s="9" t="s">
        <v>347</v>
      </c>
      <c r="E32" s="10" t="s">
        <v>348</v>
      </c>
      <c r="F32" s="11">
        <v>485.24</v>
      </c>
      <c r="G32" s="11" t="s">
        <v>47</v>
      </c>
      <c r="H32" s="11"/>
      <c r="I32" s="12"/>
    </row>
    <row r="33" spans="4:9">
      <c r="D33" s="9" t="s">
        <v>349</v>
      </c>
      <c r="E33" s="10" t="s">
        <v>349</v>
      </c>
      <c r="F33" s="11">
        <v>496</v>
      </c>
      <c r="G33" s="11" t="s">
        <v>38</v>
      </c>
      <c r="H33" s="11"/>
      <c r="I33" s="12"/>
    </row>
    <row r="34" spans="4:9">
      <c r="D34" s="18" t="s">
        <v>231</v>
      </c>
      <c r="E34" s="19"/>
      <c r="F34" s="20"/>
      <c r="G34" s="20"/>
      <c r="H34" s="20"/>
      <c r="I34" s="21"/>
    </row>
    <row r="35" spans="4:9">
      <c r="D35" s="9" t="s">
        <v>350</v>
      </c>
      <c r="E35" s="10" t="s">
        <v>350</v>
      </c>
      <c r="F35" s="11">
        <v>10610</v>
      </c>
      <c r="G35" s="11" t="s">
        <v>38</v>
      </c>
      <c r="H35" s="11"/>
      <c r="I35" s="12"/>
    </row>
    <row r="36" spans="4:9">
      <c r="D36" s="9" t="s">
        <v>351</v>
      </c>
      <c r="E36" s="10" t="s">
        <v>352</v>
      </c>
      <c r="F36" s="11">
        <v>205</v>
      </c>
      <c r="G36" s="11" t="s">
        <v>38</v>
      </c>
      <c r="H36" s="11"/>
      <c r="I36" s="12"/>
    </row>
    <row r="37" spans="4:9">
      <c r="D37" s="9" t="s">
        <v>152</v>
      </c>
      <c r="E37" s="10" t="s">
        <v>353</v>
      </c>
      <c r="F37" s="11">
        <v>38.54</v>
      </c>
      <c r="G37" s="11" t="s">
        <v>47</v>
      </c>
      <c r="H37" s="11"/>
      <c r="I37" s="12"/>
    </row>
    <row r="38" spans="4:9">
      <c r="D38" s="9" t="s">
        <v>354</v>
      </c>
      <c r="E38" s="10" t="s">
        <v>355</v>
      </c>
      <c r="F38" s="11">
        <v>24.99</v>
      </c>
      <c r="G38" s="11" t="s">
        <v>47</v>
      </c>
      <c r="H38" s="11"/>
      <c r="I38" s="12"/>
    </row>
    <row r="39" spans="4:9">
      <c r="D39" s="9" t="s">
        <v>356</v>
      </c>
      <c r="E39" s="10" t="s">
        <v>357</v>
      </c>
      <c r="F39" s="11">
        <v>1</v>
      </c>
      <c r="G39" s="11" t="s">
        <v>1</v>
      </c>
      <c r="H39" s="11"/>
      <c r="I39" s="12"/>
    </row>
    <row r="40" spans="4:9">
      <c r="D40" s="9" t="s">
        <v>358</v>
      </c>
      <c r="E40" s="10" t="s">
        <v>358</v>
      </c>
      <c r="F40" s="11">
        <v>230.42</v>
      </c>
      <c r="G40" s="11" t="s">
        <v>47</v>
      </c>
      <c r="H40" s="11"/>
      <c r="I40" s="12"/>
    </row>
    <row r="41" spans="4:9">
      <c r="D41" s="177" t="s">
        <v>359</v>
      </c>
      <c r="E41" s="10" t="s">
        <v>359</v>
      </c>
      <c r="F41" s="11">
        <v>319</v>
      </c>
      <c r="G41" s="11" t="s">
        <v>38</v>
      </c>
      <c r="H41" s="11"/>
      <c r="I41" s="12"/>
    </row>
    <row r="42" spans="4:9">
      <c r="D42" s="178" t="s">
        <v>359</v>
      </c>
      <c r="E42" s="10" t="s">
        <v>360</v>
      </c>
      <c r="F42" s="11">
        <v>2594</v>
      </c>
      <c r="G42" s="11" t="s">
        <v>38</v>
      </c>
      <c r="H42" s="11"/>
      <c r="I42" s="12"/>
    </row>
    <row r="43" spans="4:9">
      <c r="D43" s="177" t="s">
        <v>142</v>
      </c>
      <c r="E43" s="10" t="s">
        <v>142</v>
      </c>
      <c r="F43" s="11">
        <v>21.82</v>
      </c>
      <c r="G43" s="11" t="s">
        <v>47</v>
      </c>
      <c r="H43" s="11"/>
      <c r="I43" s="12"/>
    </row>
    <row r="44" spans="4:9">
      <c r="D44" s="178" t="s">
        <v>361</v>
      </c>
      <c r="E44" s="10" t="s">
        <v>362</v>
      </c>
      <c r="F44" s="11">
        <v>73.400000000000006</v>
      </c>
      <c r="G44" s="11" t="s">
        <v>47</v>
      </c>
      <c r="H44" s="11"/>
      <c r="I44" s="12"/>
    </row>
    <row r="45" spans="4:9">
      <c r="D45" s="9" t="s">
        <v>363</v>
      </c>
      <c r="E45" s="10" t="s">
        <v>363</v>
      </c>
      <c r="F45" s="11">
        <v>13</v>
      </c>
      <c r="G45" s="11" t="s">
        <v>1</v>
      </c>
      <c r="H45" s="11"/>
      <c r="I45" s="12"/>
    </row>
    <row r="46" spans="4:9">
      <c r="D46" s="9" t="s">
        <v>364</v>
      </c>
      <c r="E46" s="10" t="s">
        <v>365</v>
      </c>
      <c r="F46" s="11">
        <v>434.92</v>
      </c>
      <c r="G46" s="11" t="s">
        <v>47</v>
      </c>
      <c r="H46" s="11"/>
      <c r="I46" s="12"/>
    </row>
    <row r="47" spans="4:9">
      <c r="D47" s="9" t="s">
        <v>366</v>
      </c>
      <c r="E47" s="10" t="s">
        <v>366</v>
      </c>
      <c r="F47" s="11">
        <v>622</v>
      </c>
      <c r="G47" s="11" t="s">
        <v>38</v>
      </c>
      <c r="H47" s="11"/>
      <c r="I47" s="12"/>
    </row>
    <row r="48" spans="4:9">
      <c r="D48" s="9" t="s">
        <v>367</v>
      </c>
      <c r="E48" s="10" t="s">
        <v>367</v>
      </c>
      <c r="F48" s="11">
        <v>244</v>
      </c>
      <c r="G48" s="11" t="s">
        <v>38</v>
      </c>
      <c r="H48" s="11"/>
      <c r="I48" s="12"/>
    </row>
    <row r="49" spans="4:9">
      <c r="D49" s="9" t="s">
        <v>368</v>
      </c>
      <c r="E49" s="10" t="s">
        <v>368</v>
      </c>
      <c r="F49" s="11">
        <v>61.24</v>
      </c>
      <c r="G49" s="11" t="s">
        <v>47</v>
      </c>
      <c r="H49" s="11"/>
      <c r="I49" s="12"/>
    </row>
    <row r="50" spans="4:9">
      <c r="D50" s="9" t="s">
        <v>369</v>
      </c>
      <c r="E50" s="10" t="s">
        <v>370</v>
      </c>
      <c r="F50" s="11">
        <v>16805</v>
      </c>
      <c r="G50" s="11" t="s">
        <v>38</v>
      </c>
      <c r="H50" s="11"/>
      <c r="I50" s="12"/>
    </row>
    <row r="51" spans="4:9">
      <c r="D51" s="9" t="s">
        <v>371</v>
      </c>
      <c r="E51" s="10" t="s">
        <v>372</v>
      </c>
      <c r="F51" s="11">
        <v>3</v>
      </c>
      <c r="G51" s="11" t="s">
        <v>1</v>
      </c>
      <c r="H51" s="11"/>
      <c r="I51" s="12"/>
    </row>
    <row r="52" spans="4:9">
      <c r="D52" s="9" t="s">
        <v>373</v>
      </c>
      <c r="E52" s="10" t="s">
        <v>373</v>
      </c>
      <c r="F52" s="11">
        <v>15336</v>
      </c>
      <c r="G52" s="11" t="s">
        <v>38</v>
      </c>
      <c r="H52" s="11"/>
      <c r="I52" s="12"/>
    </row>
    <row r="53" spans="4:9">
      <c r="D53" s="177" t="s">
        <v>374</v>
      </c>
      <c r="E53" s="10" t="s">
        <v>375</v>
      </c>
      <c r="F53" s="11">
        <v>1</v>
      </c>
      <c r="G53" s="11" t="s">
        <v>1</v>
      </c>
      <c r="H53" s="11"/>
      <c r="I53" s="12"/>
    </row>
    <row r="54" spans="4:9">
      <c r="D54" s="178" t="s">
        <v>374</v>
      </c>
      <c r="E54" s="10" t="s">
        <v>374</v>
      </c>
      <c r="F54" s="11">
        <v>1</v>
      </c>
      <c r="G54" s="11" t="s">
        <v>1</v>
      </c>
      <c r="H54" s="11"/>
      <c r="I54" s="12"/>
    </row>
    <row r="55" spans="4:9">
      <c r="D55" s="9" t="s">
        <v>376</v>
      </c>
      <c r="E55" s="10" t="s">
        <v>377</v>
      </c>
      <c r="F55" s="11">
        <v>367.87</v>
      </c>
      <c r="G55" s="11" t="s">
        <v>47</v>
      </c>
      <c r="H55" s="11"/>
      <c r="I55" s="12"/>
    </row>
    <row r="56" spans="4:9">
      <c r="D56" s="9" t="s">
        <v>378</v>
      </c>
      <c r="E56" s="10" t="s">
        <v>378</v>
      </c>
      <c r="F56" s="11">
        <v>14</v>
      </c>
      <c r="G56" s="11" t="s">
        <v>1</v>
      </c>
      <c r="H56" s="11"/>
      <c r="I56" s="12"/>
    </row>
    <row r="57" spans="4:9">
      <c r="D57" s="9" t="s">
        <v>379</v>
      </c>
      <c r="E57" s="10" t="s">
        <v>380</v>
      </c>
      <c r="F57" s="11">
        <v>4</v>
      </c>
      <c r="G57" s="11" t="s">
        <v>1</v>
      </c>
      <c r="H57" s="11"/>
      <c r="I57" s="12"/>
    </row>
    <row r="58" spans="4:9">
      <c r="D58" s="9" t="s">
        <v>381</v>
      </c>
      <c r="E58" s="10" t="s">
        <v>382</v>
      </c>
      <c r="F58" s="11">
        <v>57.78</v>
      </c>
      <c r="G58" s="11" t="s">
        <v>47</v>
      </c>
      <c r="H58" s="11">
        <f>2.25*F58</f>
        <v>130.005</v>
      </c>
      <c r="I58" s="12" t="s">
        <v>38</v>
      </c>
    </row>
    <row r="59" spans="4:9">
      <c r="D59" s="9" t="s">
        <v>383</v>
      </c>
      <c r="E59" s="10" t="s">
        <v>383</v>
      </c>
      <c r="F59" s="11">
        <v>326</v>
      </c>
      <c r="G59" s="11" t="s">
        <v>38</v>
      </c>
      <c r="H59" s="11"/>
      <c r="I59" s="12"/>
    </row>
    <row r="60" spans="4:9">
      <c r="D60" s="9" t="s">
        <v>384</v>
      </c>
      <c r="E60" s="10" t="s">
        <v>384</v>
      </c>
      <c r="F60" s="11">
        <v>4056</v>
      </c>
      <c r="G60" s="11" t="s">
        <v>38</v>
      </c>
      <c r="H60" s="11"/>
      <c r="I60" s="12"/>
    </row>
    <row r="61" spans="4:9">
      <c r="D61" s="9" t="s">
        <v>385</v>
      </c>
      <c r="E61" s="10" t="s">
        <v>386</v>
      </c>
      <c r="F61" s="11">
        <v>2</v>
      </c>
      <c r="G61" s="11" t="s">
        <v>1</v>
      </c>
      <c r="H61" s="11"/>
      <c r="I61" s="12"/>
    </row>
    <row r="62" spans="4:9">
      <c r="D62" s="177" t="s">
        <v>385</v>
      </c>
      <c r="E62" s="10" t="s">
        <v>387</v>
      </c>
      <c r="F62" s="11">
        <v>8</v>
      </c>
      <c r="G62" s="11" t="s">
        <v>1</v>
      </c>
      <c r="H62" s="11"/>
      <c r="I62" s="12"/>
    </row>
    <row r="63" spans="4:9">
      <c r="D63" s="178" t="s">
        <v>385</v>
      </c>
      <c r="E63" s="10" t="s">
        <v>388</v>
      </c>
      <c r="F63" s="11">
        <v>6</v>
      </c>
      <c r="G63" s="11" t="s">
        <v>1</v>
      </c>
      <c r="H63" s="11"/>
      <c r="I63" s="12"/>
    </row>
    <row r="64" spans="4:9">
      <c r="D64" s="177" t="s">
        <v>389</v>
      </c>
      <c r="E64" s="10" t="s">
        <v>390</v>
      </c>
      <c r="F64" s="11">
        <v>498</v>
      </c>
      <c r="G64" s="11" t="s">
        <v>38</v>
      </c>
      <c r="H64" s="11"/>
      <c r="I64" s="12"/>
    </row>
    <row r="65" spans="4:9">
      <c r="D65" s="178" t="s">
        <v>389</v>
      </c>
      <c r="E65" s="10" t="s">
        <v>389</v>
      </c>
      <c r="F65" s="11">
        <v>75</v>
      </c>
      <c r="G65" s="11" t="s">
        <v>38</v>
      </c>
      <c r="H65" s="11"/>
      <c r="I65" s="12"/>
    </row>
    <row r="66" spans="4:9">
      <c r="D66" s="177" t="s">
        <v>391</v>
      </c>
      <c r="E66" s="10" t="s">
        <v>392</v>
      </c>
      <c r="F66" s="11">
        <v>7</v>
      </c>
      <c r="G66" s="11" t="s">
        <v>1</v>
      </c>
      <c r="H66" s="11"/>
      <c r="I66" s="12"/>
    </row>
    <row r="67" spans="4:9">
      <c r="D67" s="178" t="s">
        <v>391</v>
      </c>
      <c r="E67" s="10" t="s">
        <v>393</v>
      </c>
      <c r="F67" s="11">
        <v>22</v>
      </c>
      <c r="G67" s="11" t="s">
        <v>1</v>
      </c>
      <c r="H67" s="11"/>
      <c r="I67" s="12"/>
    </row>
    <row r="68" spans="4:9">
      <c r="D68" s="178" t="s">
        <v>391</v>
      </c>
      <c r="E68" s="10" t="s">
        <v>394</v>
      </c>
      <c r="F68" s="11">
        <v>35</v>
      </c>
      <c r="G68" s="11" t="s">
        <v>1</v>
      </c>
      <c r="H68" s="11"/>
      <c r="I68" s="12"/>
    </row>
    <row r="69" spans="4:9">
      <c r="D69" s="9" t="s">
        <v>395</v>
      </c>
      <c r="E69" s="10" t="s">
        <v>395</v>
      </c>
      <c r="F69" s="11">
        <v>16</v>
      </c>
      <c r="G69" s="11" t="s">
        <v>38</v>
      </c>
      <c r="H69" s="11"/>
      <c r="I69" s="12"/>
    </row>
    <row r="70" spans="4:9">
      <c r="D70" s="14" t="s">
        <v>396</v>
      </c>
      <c r="E70" s="15" t="s">
        <v>397</v>
      </c>
      <c r="F70" s="16">
        <v>1</v>
      </c>
      <c r="G70" s="16" t="s">
        <v>1</v>
      </c>
      <c r="H70" s="16"/>
      <c r="I70" s="17"/>
    </row>
  </sheetData>
  <mergeCells count="10">
    <mergeCell ref="D43:D44"/>
    <mergeCell ref="D53:D54"/>
    <mergeCell ref="D62:D63"/>
    <mergeCell ref="D64:D65"/>
    <mergeCell ref="D66:D68"/>
    <mergeCell ref="D2:G2"/>
    <mergeCell ref="H2:I2"/>
    <mergeCell ref="D5:D20"/>
    <mergeCell ref="D24:D26"/>
    <mergeCell ref="D41:D4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C2:F21"/>
  <sheetViews>
    <sheetView tabSelected="1" workbookViewId="0">
      <selection activeCell="I15" sqref="I15"/>
    </sheetView>
  </sheetViews>
  <sheetFormatPr defaultColWidth="8.85546875" defaultRowHeight="15"/>
  <cols>
    <col min="1" max="2" width="8.85546875" style="1"/>
    <col min="3" max="3" width="26.5703125" style="2" customWidth="1"/>
    <col min="4" max="4" width="31.85546875" style="1" customWidth="1"/>
    <col min="5" max="5" width="10.140625" style="3" customWidth="1"/>
    <col min="6" max="6" width="5.140625" style="3" customWidth="1"/>
    <col min="7" max="16384" width="8.85546875" style="1"/>
  </cols>
  <sheetData>
    <row r="2" spans="3:6" ht="15.75">
      <c r="C2" s="170" t="s">
        <v>398</v>
      </c>
      <c r="D2" s="171"/>
      <c r="E2" s="171"/>
      <c r="F2" s="172"/>
    </row>
    <row r="3" spans="3:6">
      <c r="C3" s="4" t="s">
        <v>77</v>
      </c>
      <c r="D3" s="4" t="s">
        <v>78</v>
      </c>
      <c r="E3" s="4" t="s">
        <v>79</v>
      </c>
      <c r="F3" s="5" t="s">
        <v>13</v>
      </c>
    </row>
    <row r="4" spans="3:6">
      <c r="C4" s="6" t="s">
        <v>399</v>
      </c>
      <c r="D4" s="7"/>
      <c r="E4" s="7"/>
      <c r="F4" s="8"/>
    </row>
    <row r="5" spans="3:6">
      <c r="C5" s="9" t="s">
        <v>400</v>
      </c>
      <c r="D5" s="10" t="s">
        <v>401</v>
      </c>
      <c r="E5" s="11">
        <v>3</v>
      </c>
      <c r="F5" s="12" t="s">
        <v>1</v>
      </c>
    </row>
    <row r="6" spans="3:6">
      <c r="C6" s="9" t="s">
        <v>402</v>
      </c>
      <c r="D6" s="10" t="s">
        <v>403</v>
      </c>
      <c r="E6" s="11">
        <v>3</v>
      </c>
      <c r="F6" s="12" t="s">
        <v>1</v>
      </c>
    </row>
    <row r="7" spans="3:6">
      <c r="C7" s="177" t="s">
        <v>404</v>
      </c>
      <c r="D7" s="10" t="s">
        <v>405</v>
      </c>
      <c r="E7" s="11">
        <v>166</v>
      </c>
      <c r="F7" s="12" t="s">
        <v>47</v>
      </c>
    </row>
    <row r="8" spans="3:6">
      <c r="C8" s="179"/>
      <c r="D8" s="10" t="s">
        <v>406</v>
      </c>
      <c r="E8" s="11">
        <v>83</v>
      </c>
      <c r="F8" s="12" t="s">
        <v>47</v>
      </c>
    </row>
    <row r="9" spans="3:6">
      <c r="C9" s="9" t="s">
        <v>407</v>
      </c>
      <c r="D9" s="10" t="s">
        <v>407</v>
      </c>
      <c r="E9" s="11">
        <v>26.88</v>
      </c>
      <c r="F9" s="12" t="s">
        <v>47</v>
      </c>
    </row>
    <row r="10" spans="3:6">
      <c r="C10" s="9" t="s">
        <v>408</v>
      </c>
      <c r="D10" s="10" t="s">
        <v>409</v>
      </c>
      <c r="E10" s="11">
        <v>5</v>
      </c>
      <c r="F10" s="12" t="s">
        <v>1</v>
      </c>
    </row>
    <row r="11" spans="3:6">
      <c r="C11" s="9" t="s">
        <v>410</v>
      </c>
      <c r="D11" s="10" t="s">
        <v>410</v>
      </c>
      <c r="E11" s="11">
        <v>3</v>
      </c>
      <c r="F11" s="12" t="s">
        <v>1</v>
      </c>
    </row>
    <row r="12" spans="3:6">
      <c r="C12" s="9" t="s">
        <v>411</v>
      </c>
      <c r="D12" s="10" t="s">
        <v>412</v>
      </c>
      <c r="E12" s="11">
        <v>41.56</v>
      </c>
      <c r="F12" s="12" t="s">
        <v>47</v>
      </c>
    </row>
    <row r="13" spans="3:6">
      <c r="C13" s="9" t="s">
        <v>413</v>
      </c>
      <c r="D13" s="10" t="s">
        <v>414</v>
      </c>
      <c r="E13" s="11">
        <v>3</v>
      </c>
      <c r="F13" s="12" t="s">
        <v>1</v>
      </c>
    </row>
    <row r="14" spans="3:6">
      <c r="C14" s="9" t="s">
        <v>297</v>
      </c>
      <c r="D14" s="10" t="s">
        <v>415</v>
      </c>
      <c r="E14" s="11">
        <v>2</v>
      </c>
      <c r="F14" s="12" t="s">
        <v>1</v>
      </c>
    </row>
    <row r="15" spans="3:6">
      <c r="C15" s="177" t="s">
        <v>416</v>
      </c>
      <c r="D15" s="10" t="s">
        <v>417</v>
      </c>
      <c r="E15" s="11">
        <v>37.96</v>
      </c>
      <c r="F15" s="12" t="s">
        <v>47</v>
      </c>
    </row>
    <row r="16" spans="3:6">
      <c r="C16" s="179"/>
      <c r="D16" s="10" t="s">
        <v>418</v>
      </c>
      <c r="E16" s="11">
        <v>22.5</v>
      </c>
      <c r="F16" s="12" t="s">
        <v>47</v>
      </c>
    </row>
    <row r="17" spans="3:6">
      <c r="C17" s="9" t="s">
        <v>419</v>
      </c>
      <c r="D17" s="10" t="s">
        <v>420</v>
      </c>
      <c r="E17" s="11">
        <v>1</v>
      </c>
      <c r="F17" s="12" t="s">
        <v>1</v>
      </c>
    </row>
    <row r="18" spans="3:6">
      <c r="C18" s="9" t="s">
        <v>421</v>
      </c>
      <c r="D18" s="10" t="s">
        <v>422</v>
      </c>
      <c r="E18" s="11">
        <v>2</v>
      </c>
      <c r="F18" s="12" t="s">
        <v>1</v>
      </c>
    </row>
    <row r="19" spans="3:6">
      <c r="C19" s="9" t="s">
        <v>423</v>
      </c>
      <c r="D19" s="10" t="s">
        <v>424</v>
      </c>
      <c r="E19" s="11">
        <v>5</v>
      </c>
      <c r="F19" s="12" t="s">
        <v>1</v>
      </c>
    </row>
    <row r="20" spans="3:6">
      <c r="C20" s="9" t="s">
        <v>425</v>
      </c>
      <c r="D20" s="10" t="s">
        <v>426</v>
      </c>
      <c r="E20" s="11">
        <v>399.93</v>
      </c>
      <c r="F20" s="12" t="s">
        <v>47</v>
      </c>
    </row>
    <row r="21" spans="3:6">
      <c r="C21" s="14" t="s">
        <v>427</v>
      </c>
      <c r="D21" s="15" t="s">
        <v>428</v>
      </c>
      <c r="E21" s="16">
        <v>2</v>
      </c>
      <c r="F21" s="17" t="s">
        <v>1</v>
      </c>
    </row>
  </sheetData>
  <mergeCells count="3">
    <mergeCell ref="C2:F2"/>
    <mergeCell ref="C7:C8"/>
    <mergeCell ref="C15:C16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28CD3F-AC39-492D-8B1D-53591063871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Unit Matrix</vt:lpstr>
      <vt:lpstr>Units</vt:lpstr>
      <vt:lpstr>Structural</vt:lpstr>
      <vt:lpstr>Architectural</vt:lpstr>
      <vt:lpstr>Exterior Facade</vt:lpstr>
      <vt:lpstr>MEPT</vt:lpstr>
      <vt:lpstr>Civil + Landscape</vt:lpstr>
      <vt:lpstr>Utility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Admin</cp:lastModifiedBy>
  <dcterms:created xsi:type="dcterms:W3CDTF">2023-06-28T11:24:00Z</dcterms:created>
  <dcterms:modified xsi:type="dcterms:W3CDTF">2023-09-02T19:19:42Z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5ACDAB43B8634DC483D42687421EDCA5</vt:lpwstr>
  </property>
  <property fmtid="{D5CDD505-2E9C-101B-9397-08002B2CF9AE}" pid="3" name="KSOProductBuildVer">
    <vt:lpwstr>1033-11.2.0.11537</vt:lpwstr>
  </property>
  <property fmtid="{D5CDD505-2E9C-101B-9397-08002B2CF9AE}" pid="4" name="PlanSwiftJobName">
    <vt:lpwstr/>
  </property>
  <property fmtid="{D5CDD505-2E9C-101B-9397-08002B2CF9AE}" pid="5" name="PlanSwiftJobGuid">
    <vt:lpwstr/>
  </property>
  <property fmtid="{D5CDD505-2E9C-101B-9397-08002B2CF9AE}" pid="6" name="LinkedDataId">
    <vt:lpwstr>{1A28CD3F-AC39-492D-8B1D-535910638714}</vt:lpwstr>
  </property>
</Properties>
</file>