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730" windowHeight="9330"/>
  </bookViews>
  <sheets>
    <sheet name="Takeoff Summary" sheetId="1" r:id="rId1"/>
    <sheet name="Steel Calculation" sheetId="3" r:id="rId2"/>
  </sheets>
  <calcPr calcId="144525"/>
</workbook>
</file>

<file path=xl/calcChain.xml><?xml version="1.0" encoding="utf-8"?>
<calcChain xmlns="http://schemas.openxmlformats.org/spreadsheetml/2006/main">
  <c r="F27" i="3" l="1"/>
  <c r="G27" i="3" s="1"/>
  <c r="F26" i="3"/>
  <c r="G26" i="3" s="1"/>
  <c r="F25" i="3"/>
  <c r="G25" i="3" s="1"/>
  <c r="F24" i="3"/>
  <c r="G24" i="3" s="1"/>
  <c r="D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G28" i="3" s="1"/>
  <c r="F8" i="3"/>
  <c r="F196" i="1"/>
  <c r="F194" i="1"/>
  <c r="F193" i="1"/>
  <c r="F192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4" i="1"/>
  <c r="F172" i="1"/>
  <c r="F171" i="1"/>
  <c r="F170" i="1"/>
  <c r="F169" i="1"/>
  <c r="F168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26" i="1"/>
  <c r="F116" i="1"/>
  <c r="F115" i="1"/>
  <c r="F114" i="1"/>
  <c r="F113" i="1"/>
  <c r="F112" i="1"/>
  <c r="F94" i="1"/>
  <c r="F92" i="1"/>
  <c r="F86" i="1"/>
  <c r="F53" i="1"/>
  <c r="F48" i="1"/>
  <c r="F47" i="1"/>
  <c r="F46" i="1"/>
  <c r="F45" i="1"/>
  <c r="F44" i="1"/>
  <c r="F43" i="1"/>
  <c r="F42" i="1"/>
  <c r="F41" i="1"/>
  <c r="F40" i="1"/>
  <c r="F39" i="1"/>
  <c r="F38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</calcChain>
</file>

<file path=xl/sharedStrings.xml><?xml version="1.0" encoding="utf-8"?>
<sst xmlns="http://schemas.openxmlformats.org/spreadsheetml/2006/main" count="2147" uniqueCount="712">
  <si>
    <t>Division w/ Description</t>
  </si>
  <si>
    <t>Items</t>
  </si>
  <si>
    <t>Quantity 1</t>
  </si>
  <si>
    <t>Unit</t>
  </si>
  <si>
    <t>Quantity 2</t>
  </si>
  <si>
    <t>Sheet Reference</t>
  </si>
  <si>
    <t>Division 02</t>
  </si>
  <si>
    <t>Demolition</t>
  </si>
  <si>
    <t>Relocate Existing Gas Marker Signage</t>
  </si>
  <si>
    <t>EA</t>
  </si>
  <si>
    <t>C101-DETAILED-SITE-PLAN-Rev.C3</t>
  </si>
  <si>
    <t>Remove And Relocate Existing Power Pole</t>
  </si>
  <si>
    <t>C030-DEMOLITION-PLAN-Rev.C3</t>
  </si>
  <si>
    <t>Remove And Relocate Existing Signage</t>
  </si>
  <si>
    <t>Remove Existing Asphalt Pavement</t>
  </si>
  <si>
    <t>SF</t>
  </si>
  <si>
    <t>Remove Existing Concrete Pavement</t>
  </si>
  <si>
    <t>Remove Existing Concrete Wall</t>
  </si>
  <si>
    <t>LF</t>
  </si>
  <si>
    <t>Remove Existing Overhead Electric Line</t>
  </si>
  <si>
    <t>Remove Or Relocate Existing Concrete Monument</t>
  </si>
  <si>
    <t>Division 03</t>
  </si>
  <si>
    <t>Concrete Curb</t>
  </si>
  <si>
    <t>Concrete Curb - 6"X6"</t>
  </si>
  <si>
    <t>CY</t>
  </si>
  <si>
    <t>C130A-CONCRETE-PAVING-PLAN---SOUTH-Rev.C3</t>
  </si>
  <si>
    <t>Concrete Footing</t>
  </si>
  <si>
    <t>Concrete Footing - 1'8" X 2'0"</t>
  </si>
  <si>
    <t>S101-FOUNDATION-PLAN-Rev.B2</t>
  </si>
  <si>
    <t>Concrete Footing - 1'8" X 3'8"</t>
  </si>
  <si>
    <t>Concrete Footing - 2'0" X 2'0"</t>
  </si>
  <si>
    <t>S521-MISCELLANEOUS-SECTIONS-Rev.0</t>
  </si>
  <si>
    <t>Concrete Footing - 2'2" X 2'0"</t>
  </si>
  <si>
    <t>Concrete Footing - 2'8" X 2'0"</t>
  </si>
  <si>
    <t>Concrete Footing - 3'3" X 2'0"</t>
  </si>
  <si>
    <t>Concrete Footing - 3'5" X 2'0"</t>
  </si>
  <si>
    <t>F1- 5'0" X 5'0" X 1'0"</t>
  </si>
  <si>
    <t>F2 - 6'0" X 6'0" X 1'0"</t>
  </si>
  <si>
    <t>Concrete Gutter</t>
  </si>
  <si>
    <t>Concrete Gutter - 2'0"X6"</t>
  </si>
  <si>
    <t>Concrete Pad</t>
  </si>
  <si>
    <t>4" Thick Concrete Pad @Island</t>
  </si>
  <si>
    <t>Concrete Pavement</t>
  </si>
  <si>
    <t>6" Thick Concrete Pavement @Radius Protector (Assumed)</t>
  </si>
  <si>
    <t>C130B-CONCRETE-PAVING-PLAN---NORTH-Rev.C3</t>
  </si>
  <si>
    <t>6" Thick PCC Concrete Pavement</t>
  </si>
  <si>
    <t>7-1/2" Thick PCC Concrete Pavement</t>
  </si>
  <si>
    <t>Concrete Pier</t>
  </si>
  <si>
    <t>F3 - 5'6" Dia Concrete Pier @Ht. 4'9"</t>
  </si>
  <si>
    <t>A-XC-110-FOUNDATION-PLAN-Rev.B2</t>
  </si>
  <si>
    <t>Concrete Sidewalk</t>
  </si>
  <si>
    <t>4" Thick Concrete Sidewalk</t>
  </si>
  <si>
    <t>Concrete Slab</t>
  </si>
  <si>
    <t>4" Thick Concrete Slab Over 10 Mil Polyethylene Vapor Barrier</t>
  </si>
  <si>
    <t>6" Thick Concrete Slab @ Canopy</t>
  </si>
  <si>
    <t>B-XC-110-FOUNDATION-PLAN-Rev.B1</t>
  </si>
  <si>
    <t>8" Thick Concrete Slab On Grade</t>
  </si>
  <si>
    <t>Concrete Thickened Edge</t>
  </si>
  <si>
    <t>Concrete Thickened Edge - 2'0" X 0'4"</t>
  </si>
  <si>
    <t>Concrete Thickened Edge - 2'0" X 2'4"</t>
  </si>
  <si>
    <t>Concrete Thickened Edge - 2'6" X 0'4"</t>
  </si>
  <si>
    <t>Concrete Thickened Edge - 3'0" X 0'4"</t>
  </si>
  <si>
    <t>Division 04</t>
  </si>
  <si>
    <t>CMU Wall</t>
  </si>
  <si>
    <t>8" thick CMU Wall @ Ht.10'8" @Dumpster</t>
  </si>
  <si>
    <t>A701-TRASH-ENCLOSURE-Rev.B1</t>
  </si>
  <si>
    <t>8" thick CMU Wall @ Ht.8'8" @Dumpster</t>
  </si>
  <si>
    <t>8" Thick CMU Wall @Ht.10'8"</t>
  </si>
  <si>
    <t>A101-REFERENCE-FLOOR-PLAN-Rev.B2</t>
  </si>
  <si>
    <t>8" Thick CMU Wall @Ht.12'4"</t>
  </si>
  <si>
    <t>8" Thick CMU Wall @Ht.14'4"</t>
  </si>
  <si>
    <t>8" Thick CMU Wall @Ht.14'8"</t>
  </si>
  <si>
    <t>8" Thick CMU Wall @Ht.16'8"</t>
  </si>
  <si>
    <t>8" Thick CMU Wall @Ht.17'8"</t>
  </si>
  <si>
    <t>8" Thick CMU Wall @Ht.18'4"</t>
  </si>
  <si>
    <t>8" Thick CMU Wall @Ht.20'4"</t>
  </si>
  <si>
    <t>8" Thick CMU Wall @Ht.5'0"</t>
  </si>
  <si>
    <t>Exterior Finish</t>
  </si>
  <si>
    <t>4" Thick Brick Accent Bands</t>
  </si>
  <si>
    <t>A201-EXTERIOR-ELEVATIONS-Rev.B2</t>
  </si>
  <si>
    <t>8" Thick Brick Accent Bands</t>
  </si>
  <si>
    <t>A202-EXTERIOR-ELEVATIONS-Rev.B2</t>
  </si>
  <si>
    <t>Brick</t>
  </si>
  <si>
    <t>Brick @Dumpster</t>
  </si>
  <si>
    <t>Brick @Ht. 10'0" @Dumpster</t>
  </si>
  <si>
    <t>Division 05</t>
  </si>
  <si>
    <t>Metal Deck</t>
  </si>
  <si>
    <t>1 1/2" 22 GA. Type B Painted Deck</t>
  </si>
  <si>
    <t>S130-ROOF-FRAMING-PLAN-Rev.B2</t>
  </si>
  <si>
    <t>16 GA. Type 3N Galvanized Steel Deck @ Canopy</t>
  </si>
  <si>
    <t>20 GA White Smooth High Gloss 16.0" Steel Deck @ Canopy</t>
  </si>
  <si>
    <t>A-XC-301-ROOF-PLAN-Rev.B2</t>
  </si>
  <si>
    <t>Steel Angle</t>
  </si>
  <si>
    <t>L3-1/2 X3-1/2 X 5/16</t>
  </si>
  <si>
    <t>L3X3x3/16</t>
  </si>
  <si>
    <t>L4X4X3/8</t>
  </si>
  <si>
    <t>L5X3X1/4</t>
  </si>
  <si>
    <t>Steel Beam</t>
  </si>
  <si>
    <t>HSS4X8X3/16</t>
  </si>
  <si>
    <t>HSS4X8X5/16</t>
  </si>
  <si>
    <t>HSS6X8X1/2</t>
  </si>
  <si>
    <t>W10X12</t>
  </si>
  <si>
    <t>W12X19</t>
  </si>
  <si>
    <t>B-XC-301-ROOF-PLAN-Rev.B1</t>
  </si>
  <si>
    <t>W12X26</t>
  </si>
  <si>
    <t>W14X22</t>
  </si>
  <si>
    <t>W16X31</t>
  </si>
  <si>
    <t>W18X35</t>
  </si>
  <si>
    <t>W21X57</t>
  </si>
  <si>
    <t>W6X9</t>
  </si>
  <si>
    <t>Steel Channel</t>
  </si>
  <si>
    <t>C6X8.2</t>
  </si>
  <si>
    <t>Steel Column</t>
  </si>
  <si>
    <t>HSS12X12X1/4" @ Ht. 16'0"</t>
  </si>
  <si>
    <t>HSS12X12X1/4" @ Ht. 17'0"</t>
  </si>
  <si>
    <t>HSS3X3X5/16 @ Ht. 4'0"</t>
  </si>
  <si>
    <t>HSS4X4X1/4 @ Ht. 14'6"</t>
  </si>
  <si>
    <t>HSS5X5X1/4 @ Ht. 14'6"</t>
  </si>
  <si>
    <t>Steel Joist</t>
  </si>
  <si>
    <t>24K4</t>
  </si>
  <si>
    <t>24K7</t>
  </si>
  <si>
    <t>24KCS4</t>
  </si>
  <si>
    <t>24KCS5</t>
  </si>
  <si>
    <t>Steel Web</t>
  </si>
  <si>
    <t xml:space="preserve">C12X25 </t>
  </si>
  <si>
    <t>Division 06</t>
  </si>
  <si>
    <t>Plywood</t>
  </si>
  <si>
    <t>5/8" Exterior Grade Plywood</t>
  </si>
  <si>
    <t>A130-ROOF-PLAN-Rev.B2</t>
  </si>
  <si>
    <t>5/8" Exterior Grade Plywood @Ht. 2'6"</t>
  </si>
  <si>
    <t>Division 07</t>
  </si>
  <si>
    <t>Cricket</t>
  </si>
  <si>
    <t>Downspout</t>
  </si>
  <si>
    <t>Aluminum Red Panel</t>
  </si>
  <si>
    <t>Bronze ACM Panel</t>
  </si>
  <si>
    <t>A-XC-201-ELEVATIONS-Rev.B2</t>
  </si>
  <si>
    <t>EIFS - Exterior Insulation And Finish System @Ht.2'0"</t>
  </si>
  <si>
    <t>Prefinished Metal Cornice</t>
  </si>
  <si>
    <t>Prefinished Metal Cornice @Ht.2'0"</t>
  </si>
  <si>
    <t>Flashing</t>
  </si>
  <si>
    <t>Prefinished Metal Cap Flashing</t>
  </si>
  <si>
    <t>Gutter</t>
  </si>
  <si>
    <t>Prefinished Metal Gutter</t>
  </si>
  <si>
    <t>Metal Soffit</t>
  </si>
  <si>
    <t>A120-REFLECTED-CEILING-PLAN-Rev.B2</t>
  </si>
  <si>
    <t>Roof Access Hatch</t>
  </si>
  <si>
    <t>Roof Access Hatch - 2'6"X3'0"</t>
  </si>
  <si>
    <t>Roof Walkpad</t>
  </si>
  <si>
    <t>Roofing</t>
  </si>
  <si>
    <t>Pre-finished Metal Standing Seam Roof</t>
  </si>
  <si>
    <t>Single Ply Roof Membrane</t>
  </si>
  <si>
    <t>Division 08</t>
  </si>
  <si>
    <t>Door</t>
  </si>
  <si>
    <t>Door Type - D-1 (Size - (2) 3'0" X 8'0" X 1 3/4", Door Material - NA, Frame Type - D, Frame Material - NA) (Hardware Set - NA)</t>
  </si>
  <si>
    <t>A601-DOOR-&amp;-WINDOW-SCHEDULES-Rev.B1</t>
  </si>
  <si>
    <t>Door Type - D-2 (Size - 3'0" X 8'0" X 1 3/4", Door Material - NA, Frame Type - B, Frame Material - NA) (Hardware Set - NA)</t>
  </si>
  <si>
    <t>Door Type - D-2 (Size - 3'0" X 8'0" X 1 3/4", Door Material - NA, Frame Type - F, Frame Material - NA) (Hardware Set - NA)</t>
  </si>
  <si>
    <t>Door Type - D-3 (Size - 3'0" X 7'2" X 1 3/4", Door Material - NA, Frame Type - F-2, Frame Material - NA) (Hardware Set - NA)</t>
  </si>
  <si>
    <t>Door Type - D-4 (Size - 3'0" X 7'0" X 1 3/4", Door Material - NA, Frame Type - F-3, Frame Material - NA) (Hardware Set - NA)</t>
  </si>
  <si>
    <t>Door Type - D-4 (Size - 3'6" X 7'0" X 1 3/4", Door Material - NA, Frame Type - F-2, Frame Material - NA) (Hardware Set - NA)</t>
  </si>
  <si>
    <t>Door Type - D-4 (Size - 3'8" X 7'0" X 1 3/4", Door Material - NA, Frame Type - F-2, Frame Material - NA) (Hardware Set - NA)</t>
  </si>
  <si>
    <t>Door Type - D-6 (Size - 3'0" X 7'0" X 1 3/4", Door Material - NA, Frame Type - F-4, Frame Material - NA) (Hardware Set - NA)</t>
  </si>
  <si>
    <t>Door Type - D-7 (Size - 3'0" X 7'0" X 1 3/4", Door Material - NA, Frame Type - F-3, Frame Material - NA) (Hardware Set - NA)</t>
  </si>
  <si>
    <t>Storefront</t>
  </si>
  <si>
    <t>Storefront D w/ Double Panel Door</t>
  </si>
  <si>
    <t>Type B - 6'4"X10'0" w/ Single Panel Door</t>
  </si>
  <si>
    <t>Type F - 5'4"X8'4" w/ Single Panel Door</t>
  </si>
  <si>
    <t>Window</t>
  </si>
  <si>
    <t>Type A - 29'0"X5'4</t>
  </si>
  <si>
    <t>Type C - 9'10"X6'0"</t>
  </si>
  <si>
    <t>Division 09</t>
  </si>
  <si>
    <t>Ceiling Finish</t>
  </si>
  <si>
    <t>ACT-1 - 24"x48"x1/2" Ceiling Tile</t>
  </si>
  <si>
    <t>Gypsum Board Ceiling</t>
  </si>
  <si>
    <t>Painted Exposed Structure</t>
  </si>
  <si>
    <t>PT-1 Paint On Gypsum Board</t>
  </si>
  <si>
    <t>PT-2 Paint On Gypsum Board</t>
  </si>
  <si>
    <t>PT-3 Paint On Gypsum Board</t>
  </si>
  <si>
    <t>Brushed Aluminum</t>
  </si>
  <si>
    <t>EIFS - Exterior Insulation And Finish System</t>
  </si>
  <si>
    <t>EIFS - Exterior Insulation And Finish System @ Ht. 18'0"</t>
  </si>
  <si>
    <t>Floor Finish</t>
  </si>
  <si>
    <t>6X6 Ceramic Tile @ Island</t>
  </si>
  <si>
    <t>XF214-DISPENSER-&amp;-PIPING-DETAILS-Rev.B1</t>
  </si>
  <si>
    <t>CT-11 - Quarry Tile Series 6"x6"</t>
  </si>
  <si>
    <t>A620-FLOOR-FINISH-PLAN-Rev.B2</t>
  </si>
  <si>
    <t>CT-12 - Quarry Tile Series 6"x6"</t>
  </si>
  <si>
    <t>CT-2 - Quarry Tile Series 6"x6"</t>
  </si>
  <si>
    <t>CT-3 - Quarry Tile Series 6"x6"</t>
  </si>
  <si>
    <t>Interior Wall</t>
  </si>
  <si>
    <t>Interior Furring Wall @Ht. 13'8"</t>
  </si>
  <si>
    <t>A110-ROUGH-DIMENSION-FLOOR-PLAN-Rev.B2</t>
  </si>
  <si>
    <t>Interior Furring Wall @Ht. 14'0"</t>
  </si>
  <si>
    <t>Interior Furring Wall @Ht. 14'8"</t>
  </si>
  <si>
    <t>Interior Furring Wall @Ht. 15'0"</t>
  </si>
  <si>
    <t>Interior Wall - Type A @Ht.15'0"</t>
  </si>
  <si>
    <t>Interior Wall - Type B @Ht.15'0"</t>
  </si>
  <si>
    <t>Interior Wall - Type C @Ht.15'0"</t>
  </si>
  <si>
    <t>Interior Wall - Type C @Ht.7'8"</t>
  </si>
  <si>
    <t>Interior Wall - Type C2 @Ht.15'0"</t>
  </si>
  <si>
    <t>Interior Wall - Type D @Ht.15'0"</t>
  </si>
  <si>
    <t>Interior Wall - Type D2 @Ht.15'0"</t>
  </si>
  <si>
    <t>Interior Wall - Type F @Ht.15'0"</t>
  </si>
  <si>
    <t>Interior Wall - Type G @Ht.11'5"</t>
  </si>
  <si>
    <t>Interior Wall - Type G @Ht.15'0"</t>
  </si>
  <si>
    <t>Interior Wall - Type G2 @Ht.11'5"</t>
  </si>
  <si>
    <t>Interior Wall - Type G2 @Ht.15'0"</t>
  </si>
  <si>
    <t>Interior Wall - Type H @Ht.16'2"</t>
  </si>
  <si>
    <t>Interior Wall - Type I @Ht.15'0"</t>
  </si>
  <si>
    <t>Interior Wall - Type J @Ht.15'0"</t>
  </si>
  <si>
    <t>Interior Wall - Type K @Ht.10'0"</t>
  </si>
  <si>
    <t>Interior Wall - Type K @Ht.15'0"</t>
  </si>
  <si>
    <t>Interior Wall - Type L @Ht.10'0"</t>
  </si>
  <si>
    <t>Interior Wall - Type M @Ht.15'0"</t>
  </si>
  <si>
    <t>Interior Wall - Type N2 @Ht.15'0"</t>
  </si>
  <si>
    <t>Interior Wall - Type P @Ht.15'0"</t>
  </si>
  <si>
    <t>Interior Wall - Type Q @Ht.15'0"</t>
  </si>
  <si>
    <t>Interior Wall - Type Q2 @Ht.15'0"</t>
  </si>
  <si>
    <t>Interior Wall - Type R @Ht.15'0"</t>
  </si>
  <si>
    <t>Interior Wall - Type S @Ht.15'0"</t>
  </si>
  <si>
    <t>Interior Wall - Type T @Ht.15'0"</t>
  </si>
  <si>
    <t>Interior Wall - Type U @Ht.15'0"</t>
  </si>
  <si>
    <t>Interior Wall - Type V @Ht.15'0"</t>
  </si>
  <si>
    <t>Soffit</t>
  </si>
  <si>
    <t>Painted Prefabricated Kitchen Soffit</t>
  </si>
  <si>
    <t>Wall Base</t>
  </si>
  <si>
    <t>CT-13 - 6"x6" Cove Base</t>
  </si>
  <si>
    <t>CT-9 - Wall Base</t>
  </si>
  <si>
    <t>A503-PLAN-DETAILS-Rev.B1</t>
  </si>
  <si>
    <t>RB-1 - Rubber Base</t>
  </si>
  <si>
    <t>Wall Finish</t>
  </si>
  <si>
    <t>CT-10 - Wall Tile @Ht. 9'4"</t>
  </si>
  <si>
    <t>CT-4 - Wall Tile @Ht.10'0"</t>
  </si>
  <si>
    <t>CT-4 - Wall Tile @Ht.5'0"</t>
  </si>
  <si>
    <t>CT-4 - Wall Tile @Ht.7'6"</t>
  </si>
  <si>
    <t>CT-4 - Wall Tile @Ht.8'0"</t>
  </si>
  <si>
    <t>CT-6 - Wall Tile</t>
  </si>
  <si>
    <t>A214-RESTROOM-ELEVATIONS-Rev.B1</t>
  </si>
  <si>
    <t>CT-6 - Wall Tile @Ht.3'10"</t>
  </si>
  <si>
    <t>CT-7 - Wall Tile</t>
  </si>
  <si>
    <t>CT-8 - Wall Tile</t>
  </si>
  <si>
    <t>CT-8 - Wall Tile @Ht.6"</t>
  </si>
  <si>
    <t>FRP-1 - Fiber Reinforced Panel @Ht.10'0"</t>
  </si>
  <si>
    <t>FRP-1 - Fiber Reinforced Panel @Ht.10'6"</t>
  </si>
  <si>
    <t>FRP-1 - Fiber Reinforced Panel @Ht.11'0"</t>
  </si>
  <si>
    <t>FRP-1 - Fiber Reinforced Panel @Ht.11'4"</t>
  </si>
  <si>
    <t>FRP-1 - Fiber Reinforced Panel @Ht.11'6"</t>
  </si>
  <si>
    <t>FRP-1 - Fiber Reinforced Panel @Ht.12'0"</t>
  </si>
  <si>
    <t>FRP-1 - Fiber Reinforced Panel @Ht.15'0"</t>
  </si>
  <si>
    <t>FRP-1 - Fiber Reinforced Panel @Ht.3'6"</t>
  </si>
  <si>
    <t>FRP-1 - Fiber Reinforced Panel @Ht.4'0"</t>
  </si>
  <si>
    <t>FRP-1 - Fiber Reinforced Panel @Ht.6'0"</t>
  </si>
  <si>
    <t>PT-1 - Wall Paint @Ht.5'0"</t>
  </si>
  <si>
    <t>PT-1 - Wall Paint @Ht.8'0"</t>
  </si>
  <si>
    <t>PT-6 - Wall Paint @Ht.3'6"</t>
  </si>
  <si>
    <t>PT-9 - Wall Paint</t>
  </si>
  <si>
    <t>PT-9 - Wall Paint @Ht.10'6"</t>
  </si>
  <si>
    <t>PT-9 - Wall Paint @Ht.6'6"</t>
  </si>
  <si>
    <t>SS-1  @Ht.7'4"</t>
  </si>
  <si>
    <t>Division 10</t>
  </si>
  <si>
    <t>Awning</t>
  </si>
  <si>
    <t>Standing Seam Awning w/ Metal Supports - 10'0"X5'0"</t>
  </si>
  <si>
    <t>Canopy</t>
  </si>
  <si>
    <t>Fire Extinguisher</t>
  </si>
  <si>
    <t>N101-GENERAL-INFORMATION-Rev.B2</t>
  </si>
  <si>
    <t>Gasoline Emergency Shut Off Switch</t>
  </si>
  <si>
    <t>Marketing Box</t>
  </si>
  <si>
    <t>Partition</t>
  </si>
  <si>
    <t>Toilet Partition @Ht. 4'7"</t>
  </si>
  <si>
    <t>Urinal Partition @Ht. 3'6"</t>
  </si>
  <si>
    <t>Signage</t>
  </si>
  <si>
    <t>Building Signage</t>
  </si>
  <si>
    <t>Restroom Signage</t>
  </si>
  <si>
    <t>Roofing Manufacturer Signage</t>
  </si>
  <si>
    <t>Quiktrip Signage (By Other)</t>
  </si>
  <si>
    <t>Wall Protection</t>
  </si>
  <si>
    <t>SCH-1</t>
  </si>
  <si>
    <t>SCH-4</t>
  </si>
  <si>
    <t>SCH-6</t>
  </si>
  <si>
    <t>SCH-8</t>
  </si>
  <si>
    <t>Division 11</t>
  </si>
  <si>
    <t>Equipments</t>
  </si>
  <si>
    <t>100 - Cup Dispenser</t>
  </si>
  <si>
    <t>A610-EQUIPMENT-PLAN-Rev.B2</t>
  </si>
  <si>
    <t>101 - Brewed Tea Dispense</t>
  </si>
  <si>
    <t>103 - Fountain Machine - 12 Head</t>
  </si>
  <si>
    <t>104 - Cubed Ice Maker</t>
  </si>
  <si>
    <t>M102-MECHANICAL-PIPING-FLOOR-PLAN-Rev.B1</t>
  </si>
  <si>
    <t>104 - Cubed Ice Maker - I000Lb</t>
  </si>
  <si>
    <t>105 - Crushed Ice Maker</t>
  </si>
  <si>
    <t>106 - Freezoni Machine</t>
  </si>
  <si>
    <t>108 - Smoothie Machine</t>
  </si>
  <si>
    <t>109 - Coffee Machine</t>
  </si>
  <si>
    <t>110 - Cappuccino Machine</t>
  </si>
  <si>
    <t>111 - Lemonade Bubbler</t>
  </si>
  <si>
    <t>112 - Fountain Wall</t>
  </si>
  <si>
    <t>113 - Frozen Bar</t>
  </si>
  <si>
    <t>115 - Tea Wall</t>
  </si>
  <si>
    <t>116 - Lotto Ticket Reader</t>
  </si>
  <si>
    <t>117 - Atm</t>
  </si>
  <si>
    <t>200 - Sales Floor Shelving</t>
  </si>
  <si>
    <t>201 - Lid Bar</t>
  </si>
  <si>
    <t>202 - Floor Cooler</t>
  </si>
  <si>
    <t>204 - Bun Warmer</t>
  </si>
  <si>
    <t>205 - Roller Grill</t>
  </si>
  <si>
    <t>206 - Condiment Rack</t>
  </si>
  <si>
    <t>207 - Microwave - Self</t>
  </si>
  <si>
    <t>208 - Chili &amp; Cheese Machine</t>
  </si>
  <si>
    <t>209 - Lid Rack</t>
  </si>
  <si>
    <t>211 - Sneeze Guard</t>
  </si>
  <si>
    <t>212 - Metal Chases</t>
  </si>
  <si>
    <t>213 - Cold Bar</t>
  </si>
  <si>
    <t>217 - 5 Tier Hot Display</t>
  </si>
  <si>
    <t>218 - End Cap Floor Cooler</t>
  </si>
  <si>
    <t>300 - Pos</t>
  </si>
  <si>
    <t>301 - Intercom Microphone</t>
  </si>
  <si>
    <t>302 - Emergency Gasoline Shut-Off Switch</t>
  </si>
  <si>
    <t>303 - Cigarette Cabinet</t>
  </si>
  <si>
    <t>304 - Computer</t>
  </si>
  <si>
    <t>305 - Loyop Machine</t>
  </si>
  <si>
    <t>307 - Bill Reader Safe</t>
  </si>
  <si>
    <t>308 - Checkstand</t>
  </si>
  <si>
    <t>309 - Shroud</t>
  </si>
  <si>
    <t>400 - 2 Door Freezer Unit</t>
  </si>
  <si>
    <t>401 - Cooler Door</t>
  </si>
  <si>
    <t>402 - Shelving - Cooler Sales</t>
  </si>
  <si>
    <t>403 - Shelving - Cooler Back Stock</t>
  </si>
  <si>
    <t>404 - Shelving - Freezer Back Stock</t>
  </si>
  <si>
    <t>406 - Novelty Ice Cream Freezer</t>
  </si>
  <si>
    <t>500 - Ice Bagger</t>
  </si>
  <si>
    <t>502 - Shelving - Open Stock</t>
  </si>
  <si>
    <t>503 - Shelving - Overhead</t>
  </si>
  <si>
    <t>504 - Bag-N-Box Rack</t>
  </si>
  <si>
    <t>507 - Bnb Air Compressor</t>
  </si>
  <si>
    <t>508 - Co2 Tank</t>
  </si>
  <si>
    <t>509 - Multiplex</t>
  </si>
  <si>
    <t>510 - Hot Weater Heater</t>
  </si>
  <si>
    <t>511 - Electrical Panels</t>
  </si>
  <si>
    <t>512 - Low Voltage Cabinet</t>
  </si>
  <si>
    <t>514 - Water Filtration System</t>
  </si>
  <si>
    <t>515 - Janitor'S Sink With Faucet</t>
  </si>
  <si>
    <t>516 - 3-Compartment Sink With Faucet</t>
  </si>
  <si>
    <t>517 - Ups Bypass Panel</t>
  </si>
  <si>
    <t>519 - Booster Pump</t>
  </si>
  <si>
    <t>520 - Air Door</t>
  </si>
  <si>
    <t>522 - Expansion Tank</t>
  </si>
  <si>
    <t>526 - Security Cabinet</t>
  </si>
  <si>
    <t>529 - Ada Handsink With Faucet</t>
  </si>
  <si>
    <t>531 - Electric Heater</t>
  </si>
  <si>
    <t>532 - Mop/ Broom Holder</t>
  </si>
  <si>
    <t>533 - Large Bug Light</t>
  </si>
  <si>
    <t>534 - Ice Maker</t>
  </si>
  <si>
    <t>539 - Floor Scrubber</t>
  </si>
  <si>
    <t>540 - Co2 Exhaust Switch</t>
  </si>
  <si>
    <t>600 - Pastry Case</t>
  </si>
  <si>
    <t>601 - Custom Order Machine</t>
  </si>
  <si>
    <t>603 - Blender</t>
  </si>
  <si>
    <t>604 - Under Counter Freezer</t>
  </si>
  <si>
    <t>606 Ice Cream Machine</t>
  </si>
  <si>
    <t>610 - Under Counter Refrigerator</t>
  </si>
  <si>
    <t>611 - Dishwasher</t>
  </si>
  <si>
    <t>613 - Dump Sink</t>
  </si>
  <si>
    <t>614 - Drying Rack</t>
  </si>
  <si>
    <t>616 - Stainless Steel Worktable</t>
  </si>
  <si>
    <t>618 - Led Screen</t>
  </si>
  <si>
    <t>620 - Wire Rack</t>
  </si>
  <si>
    <t>621 - Impinger Oven</t>
  </si>
  <si>
    <t>622 - Cold Prep Table</t>
  </si>
  <si>
    <t>631 - Pizza Box Cabinet</t>
  </si>
  <si>
    <t>632 - Sub Oven</t>
  </si>
  <si>
    <t>633 - Bread Box</t>
  </si>
  <si>
    <t>636 - Pizza Warmer</t>
  </si>
  <si>
    <t>638 - 72" Sub Cold Bar</t>
  </si>
  <si>
    <t>639 - Kms Screen</t>
  </si>
  <si>
    <t>640 - Sticker Printer</t>
  </si>
  <si>
    <t>646 - Heat Lamp</t>
  </si>
  <si>
    <t>647 - Steam Drawers</t>
  </si>
  <si>
    <t>648 - Combi Oven</t>
  </si>
  <si>
    <t>700 - Lavatory With Faucet</t>
  </si>
  <si>
    <t>701 - Wall Mounted Water Closet</t>
  </si>
  <si>
    <t>702 - Wall Mounted Urinal</t>
  </si>
  <si>
    <t>703 - 36" Horizontal Grab Bar</t>
  </si>
  <si>
    <t>704 - 42" Horizontal Grab Bar</t>
  </si>
  <si>
    <t>705 - 18" Vertical Grab Bar</t>
  </si>
  <si>
    <t>706 - Paper Towel Dispenser</t>
  </si>
  <si>
    <t>707 - Toilet Paper Dipenser</t>
  </si>
  <si>
    <t>708 - Seat Cover Dispenser</t>
  </si>
  <si>
    <t>709 - Baby Changing Station</t>
  </si>
  <si>
    <t>710 - Feminine Napkin Disposal</t>
  </si>
  <si>
    <t>711 - Mirror</t>
  </si>
  <si>
    <t>712 - Soap Dispenser</t>
  </si>
  <si>
    <t>713 - Trash Can Liner</t>
  </si>
  <si>
    <t>801 - Co2 Connection Box</t>
  </si>
  <si>
    <t>802 - Power Washer Connection Box</t>
  </si>
  <si>
    <t>805 - Emergency Shut-Off Switch</t>
  </si>
  <si>
    <t>807 - Ice Vending Kiosk</t>
  </si>
  <si>
    <t>906 - Cubed Ice Maker</t>
  </si>
  <si>
    <t>907 - Ice Maker Condensing Unit</t>
  </si>
  <si>
    <t>908 - Walk In Freezer Evaporator</t>
  </si>
  <si>
    <t>909 - Take Home Cooler Evporator</t>
  </si>
  <si>
    <t>910 - Singles Cooper Evaporator</t>
  </si>
  <si>
    <t>911 - Crushed Ice Maker Condensor Unit</t>
  </si>
  <si>
    <t>917 - Ice Vending Condensor Unit</t>
  </si>
  <si>
    <t>918 - Walk In Freezer Condensing Unit</t>
  </si>
  <si>
    <t>927 - End Cap Floor Condensor Unit</t>
  </si>
  <si>
    <t>Equipment - 922</t>
  </si>
  <si>
    <t>Equipment - 923</t>
  </si>
  <si>
    <t>Equipment - 925</t>
  </si>
  <si>
    <t>Equipment - 926</t>
  </si>
  <si>
    <t>Division 22</t>
  </si>
  <si>
    <t>Plumbing Fixtures</t>
  </si>
  <si>
    <t>3" Floor Drain</t>
  </si>
  <si>
    <t>P103-PLUMBING-SLAB-ROUGH-IN-FLOOR-PLAN-Rev.B1</t>
  </si>
  <si>
    <t>3" Floor Sink</t>
  </si>
  <si>
    <t>4" Floor Sink</t>
  </si>
  <si>
    <t>Cleanout CO</t>
  </si>
  <si>
    <t>P101-PLUMBING-WASTE-&amp;-VENT-FLOOR-PLAN-Rev.B2</t>
  </si>
  <si>
    <t>Flush Floor Cleanout FFCO</t>
  </si>
  <si>
    <t>Wall Cleanout WCO</t>
  </si>
  <si>
    <t>Roof Drain</t>
  </si>
  <si>
    <t>Vent Thru Roof</t>
  </si>
  <si>
    <t>4" Vent Thru Roof'</t>
  </si>
  <si>
    <t>Division 23</t>
  </si>
  <si>
    <t>Air Device</t>
  </si>
  <si>
    <t>R1 - Exhaust (12" Dia)</t>
  </si>
  <si>
    <t>M101-MECHANICAL-DUCTWORK-FLOOR-PLAN-Rev.B2</t>
  </si>
  <si>
    <t>R2 - Exhaust (14"x14")</t>
  </si>
  <si>
    <t>R3 - Transfer (8"x8")</t>
  </si>
  <si>
    <t>R4 - Return Diffuser (18"X12")</t>
  </si>
  <si>
    <t>S1 - Supply Diffuser (10" Dia)</t>
  </si>
  <si>
    <t>S1 - Supply Diffuser (12" Dia)</t>
  </si>
  <si>
    <t>S1 - Supply Diffuser (14" Dia)</t>
  </si>
  <si>
    <t>S1 - Supply Diffuser (8" Dia)</t>
  </si>
  <si>
    <t>S2 - Supply Diffuser (10" Dia)</t>
  </si>
  <si>
    <t>S3 - Supply Diffuser (14" Dia)</t>
  </si>
  <si>
    <t>S4 - Supply Diffuser (14" Dia)</t>
  </si>
  <si>
    <t>S5 - Supply Diffuser (10" Dia)</t>
  </si>
  <si>
    <t>S6 - Supply Diffuser (10" Dia)</t>
  </si>
  <si>
    <t>Air Door</t>
  </si>
  <si>
    <t>AD-1 - Air Door</t>
  </si>
  <si>
    <t>AD-2 - Air Door</t>
  </si>
  <si>
    <t>AD-3 - Air Door</t>
  </si>
  <si>
    <t>AD-4 - Air Door</t>
  </si>
  <si>
    <t>AD-5 - Air Door</t>
  </si>
  <si>
    <t>AD-6 - Air Door</t>
  </si>
  <si>
    <t>Exhaust Fan</t>
  </si>
  <si>
    <t>EF-1 - Exhaust Fan</t>
  </si>
  <si>
    <t>EF-2 - Exhaust Fan</t>
  </si>
  <si>
    <t>EF-3 - Exhaust Fan</t>
  </si>
  <si>
    <t>VF-1 - Exhaust Fan</t>
  </si>
  <si>
    <t>Humidity Sensor</t>
  </si>
  <si>
    <t>Roof Top Air Handling Unit</t>
  </si>
  <si>
    <t>RT-1 - Roof Top Air Handling Unit</t>
  </si>
  <si>
    <t>RT-2 - Roof Top Air Handling Unit</t>
  </si>
  <si>
    <t>RT-3 - Roof Top Air Handling Unit</t>
  </si>
  <si>
    <t>RT-4 - Roof Top Air Handling Unit</t>
  </si>
  <si>
    <t>Temperature Sensor</t>
  </si>
  <si>
    <t>Remote Temperature Sensor</t>
  </si>
  <si>
    <t>Division 26</t>
  </si>
  <si>
    <t>Conduits</t>
  </si>
  <si>
    <t>1" Empty Conduits</t>
  </si>
  <si>
    <t>E004-SECURITY-POWER-&amp;-CONDUIT-PLAN-Rev.B2</t>
  </si>
  <si>
    <t>1/2" Conduits</t>
  </si>
  <si>
    <t>E104-ELECTRICAL-LIGHTING-REFLECTED-CEILING-PLAN-Rev.B2</t>
  </si>
  <si>
    <t>1/4" Conduits</t>
  </si>
  <si>
    <t>E001-ELECTRICAL-SITE-PLAN-Rev.B2</t>
  </si>
  <si>
    <t>2" Empty Conduits</t>
  </si>
  <si>
    <t>3/4" Conduits</t>
  </si>
  <si>
    <t>4" Empty Conduits</t>
  </si>
  <si>
    <t>E003-CANOPY-LIGHTING-PLAN-Rev.B1</t>
  </si>
  <si>
    <t>Empty Conduits</t>
  </si>
  <si>
    <t>E103-ELECTRICAL-POWER-FLOOR-PLAN-Rev.B2</t>
  </si>
  <si>
    <t>Connections</t>
  </si>
  <si>
    <t>LED power supply connections @ Canopy</t>
  </si>
  <si>
    <t>Control Valves</t>
  </si>
  <si>
    <t>Data Outlet</t>
  </si>
  <si>
    <t>Disconnect Switch</t>
  </si>
  <si>
    <t>Hubbell Quazite Box</t>
  </si>
  <si>
    <t>Junction Box</t>
  </si>
  <si>
    <t>WP - Workpoint Junction Box</t>
  </si>
  <si>
    <t>Netway</t>
  </si>
  <si>
    <t>Canopy Mounted Netway</t>
  </si>
  <si>
    <t>Occupancy Sensor</t>
  </si>
  <si>
    <t>Panel Board</t>
  </si>
  <si>
    <t>Panel Board - A</t>
  </si>
  <si>
    <t>E504-ELECTRICAL-DETAILS-&amp;-RISER-Rev.B2</t>
  </si>
  <si>
    <t>Panel Board - B</t>
  </si>
  <si>
    <t>Panel Board - BB</t>
  </si>
  <si>
    <t>Panel Board - C</t>
  </si>
  <si>
    <t>Panel Board - CC</t>
  </si>
  <si>
    <t>Panel Board - D</t>
  </si>
  <si>
    <t>Panel Board - DD</t>
  </si>
  <si>
    <t>Panel Board - E</t>
  </si>
  <si>
    <t>Panel Board - EE</t>
  </si>
  <si>
    <t>Panel Board - F</t>
  </si>
  <si>
    <t>Panel Board - FF</t>
  </si>
  <si>
    <t>Panel Board - G</t>
  </si>
  <si>
    <t>Panel Board - GG</t>
  </si>
  <si>
    <t>Panel Board - T</t>
  </si>
  <si>
    <t>Receptacles</t>
  </si>
  <si>
    <t>240V Outlet</t>
  </si>
  <si>
    <t>Duplex Receptacles</t>
  </si>
  <si>
    <t>GFI Duplex Receptacles</t>
  </si>
  <si>
    <t>E105-ELECTRICAL-ROOF-PLAN-Rev.B2</t>
  </si>
  <si>
    <t>Quadraplex Receptacles</t>
  </si>
  <si>
    <t>E501-ELECTRICAL-ENLARGED-PLANS-Rev.B1</t>
  </si>
  <si>
    <t>Sensor</t>
  </si>
  <si>
    <t>Sensor For Emerson Management System</t>
  </si>
  <si>
    <t>Service Disconnect</t>
  </si>
  <si>
    <t>Switch</t>
  </si>
  <si>
    <t>Disconnect Switch, Furnished w/ Equipment</t>
  </si>
  <si>
    <t xml:space="preserve">Single Pole Switch </t>
  </si>
  <si>
    <t xml:space="preserve">Switch </t>
  </si>
  <si>
    <t>Site Light Fixture</t>
  </si>
  <si>
    <t>A - Single Pole LED</t>
  </si>
  <si>
    <t>E002-ELECTRICAL-SITE-PLAN-Rev.B1</t>
  </si>
  <si>
    <t>B - Single pole Double LED</t>
  </si>
  <si>
    <t>C - Double 180 Degree LED</t>
  </si>
  <si>
    <t>D - Triple 90- Degree LED</t>
  </si>
  <si>
    <t>E - white LED</t>
  </si>
  <si>
    <t>F - Bronze LED</t>
  </si>
  <si>
    <t>H -  Pole Mounted Large Area LED Light</t>
  </si>
  <si>
    <t>V - Security Camera Light Fixture</t>
  </si>
  <si>
    <t>Light Fixture</t>
  </si>
  <si>
    <t>A - Lay In LED</t>
  </si>
  <si>
    <t>E601-ELECTRICAL-SCHEDULES-&amp;-NOTES-Rev.B2</t>
  </si>
  <si>
    <t>A-EL - Lay In LED</t>
  </si>
  <si>
    <t>D1 - Surface Wall</t>
  </si>
  <si>
    <t>EXIT - Light Fixture</t>
  </si>
  <si>
    <t>G-D - Light Fixture</t>
  </si>
  <si>
    <t>J - Recessed LED</t>
  </si>
  <si>
    <t>BLX - Surface Wall CFL</t>
  </si>
  <si>
    <t>LDEM - Recessed LED</t>
  </si>
  <si>
    <t>LDSI - LED Strip Lighting</t>
  </si>
  <si>
    <t>LDS2 - LED Strip Lighting</t>
  </si>
  <si>
    <t>LEDI - Recessed LED</t>
  </si>
  <si>
    <t>LEDO - Outdoor Recessed LED</t>
  </si>
  <si>
    <t>QFI - Surface LED</t>
  </si>
  <si>
    <t>QFIEL - Surface LED</t>
  </si>
  <si>
    <t>QK - Surface LED</t>
  </si>
  <si>
    <t>QL - Recessed LED</t>
  </si>
  <si>
    <t>QL2 - Recessed LED</t>
  </si>
  <si>
    <t>QLEL - Recessed LED</t>
  </si>
  <si>
    <t>SOFF - Outdoor Recessed LED</t>
  </si>
  <si>
    <t>L - Recessed LED</t>
  </si>
  <si>
    <t>LEDL - Recessed LED</t>
  </si>
  <si>
    <t>UC-34 - Surface LED</t>
  </si>
  <si>
    <t>Transformer</t>
  </si>
  <si>
    <t>Utility Transformer</t>
  </si>
  <si>
    <t>Division 28</t>
  </si>
  <si>
    <t>Security Camera</t>
  </si>
  <si>
    <t>E005-SECURITY-CAMERA-PLAN-Rev.B2</t>
  </si>
  <si>
    <t>Division 31</t>
  </si>
  <si>
    <t>Construction Exit</t>
  </si>
  <si>
    <t>C144-EROSION-CONTROL-PLAN---PHASE-I-Rev.C3</t>
  </si>
  <si>
    <t>Silt Fence</t>
  </si>
  <si>
    <t>Silt Fence @Ht. 2'6"</t>
  </si>
  <si>
    <t>Division 32</t>
  </si>
  <si>
    <t>Air Station</t>
  </si>
  <si>
    <t>Asphalt Pavement</t>
  </si>
  <si>
    <t>1.25" Thick Asphalt Pavement</t>
  </si>
  <si>
    <t>1.25" Thick Asphalt Pavement (Alternate)</t>
  </si>
  <si>
    <t>C131A-ASPHALT-PAVING-PLAN---SOUTH-Rev.C3</t>
  </si>
  <si>
    <t>5" Thick Asphalt Pavement (Alternate)</t>
  </si>
  <si>
    <t>7" Thick Asphalt Pavement (Alternate)</t>
  </si>
  <si>
    <t>Bollard</t>
  </si>
  <si>
    <t>12" Dia Concrete Filled Bollard @Ht.10'0"</t>
  </si>
  <si>
    <t>C102-DETAILED-SITE-PLAN-Rev.C3</t>
  </si>
  <si>
    <t>4" Dia Steel Bollard @Ht.6'3"</t>
  </si>
  <si>
    <t>4" Dia Steel Bollard @Ht.6'3" @Fuel Station</t>
  </si>
  <si>
    <t>4" Dia Steel Covered Bollard @Ht.6'3"</t>
  </si>
  <si>
    <t>6" Dia SCH. 40 Concrete Filled Steel Bollard @Ht.6'4" @Dumpster</t>
  </si>
  <si>
    <t>Check Dam</t>
  </si>
  <si>
    <t>Crosswalk Stripping</t>
  </si>
  <si>
    <t>8" Crosswalk White Stripping</t>
  </si>
  <si>
    <t>Dining Table</t>
  </si>
  <si>
    <t>ADA Dining Table</t>
  </si>
  <si>
    <t>Directional Arrow</t>
  </si>
  <si>
    <t>C103-SIGNAGE-PLAN-Rev.C3</t>
  </si>
  <si>
    <t>Dispenser</t>
  </si>
  <si>
    <t>Dispenser w/ ADA Signage @Canopy</t>
  </si>
  <si>
    <t>Diversion</t>
  </si>
  <si>
    <t>Dumpster Gate</t>
  </si>
  <si>
    <t>Double Panel Dumpster Gate - 12'0"X8'0"</t>
  </si>
  <si>
    <t>Fence</t>
  </si>
  <si>
    <t>Black Vinyl Coated Chain Link Fence @Ht.4'0"</t>
  </si>
  <si>
    <t>Fence Gate</t>
  </si>
  <si>
    <t>Double Panel Fence Gate - 16'0"X4'0"</t>
  </si>
  <si>
    <t>Filter Ring</t>
  </si>
  <si>
    <t>Grate Inlet</t>
  </si>
  <si>
    <t>C121-STORM-SEWER-PLAN---NORTH-Rev.C3</t>
  </si>
  <si>
    <t>Grease Interceptor</t>
  </si>
  <si>
    <t>Grease Interceptor (1500 Gal)</t>
  </si>
  <si>
    <t>C151-BUILDING-UTILITY-PLAN-Rev.C3</t>
  </si>
  <si>
    <t>Inlet Sediment Trap</t>
  </si>
  <si>
    <t>C145-EROSION-CONTROL-PLAN---PHASE-II-Rev.C3</t>
  </si>
  <si>
    <t>Oil/Water Separator</t>
  </si>
  <si>
    <t>C150-UTILITY-PLAN-Rev.C3</t>
  </si>
  <si>
    <t>Painted ADA Parking Marking</t>
  </si>
  <si>
    <t>Parking Stripping</t>
  </si>
  <si>
    <t>4" Thick Painted ADA Parking Stripping</t>
  </si>
  <si>
    <t>4" Thick Yellow Parking Stripping</t>
  </si>
  <si>
    <t>Pole</t>
  </si>
  <si>
    <t>Low Voltage Pole</t>
  </si>
  <si>
    <t>Ramp</t>
  </si>
  <si>
    <t>ADA Ramp</t>
  </si>
  <si>
    <t>Shrubs</t>
  </si>
  <si>
    <t>Loropetalum (Chinese Fringe Flower)</t>
  </si>
  <si>
    <t>L100-LANDSCAPE-PLAN-Rev.C3</t>
  </si>
  <si>
    <t>Needle Point Holly</t>
  </si>
  <si>
    <t>Frontage Trees</t>
  </si>
  <si>
    <t xml:space="preserve">Crape Myrtle </t>
  </si>
  <si>
    <t xml:space="preserve">Yahpon Holly </t>
  </si>
  <si>
    <t>Willow Oak</t>
  </si>
  <si>
    <t>Screening Trees</t>
  </si>
  <si>
    <t>Zell.Ova - Village Green</t>
  </si>
  <si>
    <t>Red Maple</t>
  </si>
  <si>
    <t>Ground Covers</t>
  </si>
  <si>
    <t>Tieway 419 Bermuda Sod</t>
  </si>
  <si>
    <t>Mulch</t>
  </si>
  <si>
    <t>Bermuda Seed</t>
  </si>
  <si>
    <t>ADA Signage</t>
  </si>
  <si>
    <t>QT Vertical Pole Signage</t>
  </si>
  <si>
    <t>Vertical Directional Signage</t>
  </si>
  <si>
    <t>Stop Bar</t>
  </si>
  <si>
    <t>Painted Stop Bar</t>
  </si>
  <si>
    <t>Storm Drain Outlet Protection</t>
  </si>
  <si>
    <t>Stripping</t>
  </si>
  <si>
    <t>12" White Stripping</t>
  </si>
  <si>
    <t>4" Yellow Stripping</t>
  </si>
  <si>
    <t>Underground Storage Tank</t>
  </si>
  <si>
    <t>10" Dia Underground Storage Tank</t>
  </si>
  <si>
    <t>Division 33</t>
  </si>
  <si>
    <t>Backflow Preventer</t>
  </si>
  <si>
    <t>1.5" Backflow Preventer</t>
  </si>
  <si>
    <t>2" Backflow Preventer</t>
  </si>
  <si>
    <t>Cleanout</t>
  </si>
  <si>
    <t>10" Storm Drain Cleanout</t>
  </si>
  <si>
    <t>12" Sanitary Sewer Cleanout</t>
  </si>
  <si>
    <t>4" Storm Drain Cleanout</t>
  </si>
  <si>
    <t>6" Sanitary Sewer Cleanout</t>
  </si>
  <si>
    <t>8" Storm Drain Cleanout</t>
  </si>
  <si>
    <t>Storm Drain Cleanout</t>
  </si>
  <si>
    <t>C120-STORM-SEWER-PLAN---SOUTH-Rev.C3</t>
  </si>
  <si>
    <t>Curb Inlet</t>
  </si>
  <si>
    <t>A2 - Double Curb Inlet</t>
  </si>
  <si>
    <t>A3 - Curb Inlet</t>
  </si>
  <si>
    <t>A4 - Curb Inlet</t>
  </si>
  <si>
    <t>A5 - Curb Inlet</t>
  </si>
  <si>
    <t>B1 - Double Curb Inlet</t>
  </si>
  <si>
    <t>B1.1 - Double Curb Inlet</t>
  </si>
  <si>
    <t>B2 - Curb Inlet</t>
  </si>
  <si>
    <t>B3 - Curb Inlet</t>
  </si>
  <si>
    <t>D1 - Double Curb Inlet</t>
  </si>
  <si>
    <t>D2 - Curb Inlet</t>
  </si>
  <si>
    <t>Curb Inlet Protection</t>
  </si>
  <si>
    <t>Drain</t>
  </si>
  <si>
    <t>6" Hydrotech Hydroblock 150 Drain w/ ADA Grate</t>
  </si>
  <si>
    <t>Headwall</t>
  </si>
  <si>
    <t>24" Headwall</t>
  </si>
  <si>
    <t>C122-STORM-SEWER-PLAN---WEST-Rev.C3</t>
  </si>
  <si>
    <t>Manhole</t>
  </si>
  <si>
    <t>A1 - Storm Drain Manhole</t>
  </si>
  <si>
    <t>C1 - Storm Drain Manhole</t>
  </si>
  <si>
    <t>C2 - Storm Drain Manhole</t>
  </si>
  <si>
    <t>C3 - Storm Drain Manhole</t>
  </si>
  <si>
    <t>C4 - Storm Drain Manhole</t>
  </si>
  <si>
    <t>Test Manhole (Grease)</t>
  </si>
  <si>
    <t>Overhead Electric Line</t>
  </si>
  <si>
    <t>Reducer</t>
  </si>
  <si>
    <t>Uponor Joint &amp; Reducer From 2" Copper Pipe To 1.5" Aquapex Pipe</t>
  </si>
  <si>
    <t>Sanitary Sewer Line</t>
  </si>
  <si>
    <t>6" DIP Sanitary Sewer</t>
  </si>
  <si>
    <t>6" SDR-26 PVC Sanitary Sewer</t>
  </si>
  <si>
    <t>Shut Off Valve</t>
  </si>
  <si>
    <t>Storm Drain Pipe</t>
  </si>
  <si>
    <t>10" HDPE Storm Drain Pipe</t>
  </si>
  <si>
    <t>10" PVC Storm Drain Pipe</t>
  </si>
  <si>
    <t>12" HDPE Storm Drain Pipe</t>
  </si>
  <si>
    <t>18" HDPE Storm Drain Pipe</t>
  </si>
  <si>
    <t>24" HDPE Storm Drain Pipe</t>
  </si>
  <si>
    <t>4" PVC Storm Drain Pipe</t>
  </si>
  <si>
    <t>6" SDR-26 PVC Storm Drain Pipe</t>
  </si>
  <si>
    <t>8" HDPE Storm Drain Pipe</t>
  </si>
  <si>
    <t>8" PVC Storm Drain Pipe</t>
  </si>
  <si>
    <t>Tapping Sleeve</t>
  </si>
  <si>
    <t>12"X2" Tapping Sleeve &amp; Valve</t>
  </si>
  <si>
    <t>12"X4" Tapping Sleeve &amp; Valve</t>
  </si>
  <si>
    <t>Trench Drain</t>
  </si>
  <si>
    <t>12" Trench Drain</t>
  </si>
  <si>
    <t>Underground Telecom Line</t>
  </si>
  <si>
    <t>Water Line</t>
  </si>
  <si>
    <t>1.5" Aquapex Water Line</t>
  </si>
  <si>
    <t>2" Copper Water Line</t>
  </si>
  <si>
    <t>Water Meter</t>
  </si>
  <si>
    <t>2" Water Meter</t>
  </si>
  <si>
    <t>Wye</t>
  </si>
  <si>
    <t>6" Wye</t>
  </si>
  <si>
    <t>Structural steel (tonnage)</t>
  </si>
  <si>
    <t>Sr.No</t>
  </si>
  <si>
    <t xml:space="preserve">Structural steel </t>
  </si>
  <si>
    <t>Length (LF)</t>
  </si>
  <si>
    <t xml:space="preserve"> lbs/lf</t>
  </si>
  <si>
    <t>lbs</t>
  </si>
  <si>
    <t>Wt in tonnes</t>
  </si>
  <si>
    <t>Remark</t>
  </si>
  <si>
    <t xml:space="preserve">HSS12X12X1/4" </t>
  </si>
  <si>
    <t>HSS3X3X5/16"</t>
  </si>
  <si>
    <t>HSS4X4X1/4"</t>
  </si>
  <si>
    <t>HSS5X5X1/4"</t>
  </si>
  <si>
    <t xml:space="preserve">Total </t>
  </si>
  <si>
    <t>Tonnes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</si>
</sst>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5" formatCode="_ * #,##0_ ;_ * \-#,##0_ ;_ * &quot;-&quot;??_ ;_ @_ "/>
    <numFmt numFmtId="166" formatCode="_ * #,##0.00_ ;_ * \-#,##0.00_ ;_ * &quot;-&quot;??_ ;_ @_ "/>
    <numFmt numFmtId="168" formatCode="_ * #,##0.0_ ;_ * \-#,##0.0_ ;_ * &quot;-&quot;??_ ;_ @_ "/>
  </numFmts>
  <fonts count="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rgb="FF000000"/>
      <name val="Times New Roman"/>
      <charset val="134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166" fontId="6" fillId="0" borderId="0" applyFont="0" applyFill="0" applyBorder="0" applyAlignment="0" applyProtection="0">
      <alignment vertical="center"/>
    </xf>
    <xf numFmtId="0" fontId="6" fillId="0" borderId="0"/>
    <xf numFmtId="0" fontId="3" fillId="0" borderId="0"/>
  </cellStyleXfs>
  <cellXfs count="64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168" fontId="0" fillId="2" borderId="0" xfId="1" applyNumberFormat="1" applyFill="1">
      <alignment vertical="center"/>
    </xf>
    <xf numFmtId="165" fontId="0" fillId="2" borderId="0" xfId="1" applyNumberFormat="1" applyFill="1">
      <alignment vertical="center"/>
    </xf>
    <xf numFmtId="0" fontId="1" fillId="5" borderId="1" xfId="2" applyFont="1" applyFill="1" applyBorder="1" applyAlignment="1">
      <alignment horizontal="center" vertical="center"/>
    </xf>
    <xf numFmtId="0" fontId="1" fillId="5" borderId="2" xfId="2" applyFont="1" applyFill="1" applyBorder="1" applyAlignment="1">
      <alignment horizontal="center"/>
    </xf>
    <xf numFmtId="168" fontId="1" fillId="5" borderId="2" xfId="1" applyNumberFormat="1" applyFont="1" applyFill="1" applyBorder="1" applyAlignment="1" applyProtection="1">
      <alignment horizontal="center"/>
    </xf>
    <xf numFmtId="165" fontId="1" fillId="5" borderId="2" xfId="1" applyNumberFormat="1" applyFont="1" applyFill="1" applyBorder="1" applyAlignment="1" applyProtection="1">
      <alignment horizontal="center"/>
    </xf>
    <xf numFmtId="0" fontId="1" fillId="5" borderId="3" xfId="2" applyFont="1" applyFill="1" applyBorder="1" applyAlignment="1">
      <alignment horizontal="center"/>
    </xf>
    <xf numFmtId="0" fontId="0" fillId="2" borderId="5" xfId="0" applyFill="1" applyBorder="1" applyAlignment="1">
      <alignment vertical="center"/>
    </xf>
    <xf numFmtId="168" fontId="0" fillId="2" borderId="5" xfId="1" applyNumberFormat="1" applyFill="1" applyBorder="1">
      <alignment vertical="center"/>
    </xf>
    <xf numFmtId="165" fontId="0" fillId="2" borderId="5" xfId="1" applyNumberFormat="1" applyFill="1" applyBorder="1">
      <alignment vertical="center"/>
    </xf>
    <xf numFmtId="0" fontId="0" fillId="2" borderId="6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168" fontId="0" fillId="2" borderId="8" xfId="1" applyNumberFormat="1" applyFill="1" applyBorder="1">
      <alignment vertical="center"/>
    </xf>
    <xf numFmtId="165" fontId="0" fillId="2" borderId="8" xfId="1" applyNumberFormat="1" applyFill="1" applyBorder="1">
      <alignment vertical="center"/>
    </xf>
    <xf numFmtId="0" fontId="0" fillId="2" borderId="9" xfId="0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168" fontId="0" fillId="2" borderId="12" xfId="1" applyNumberFormat="1" applyFill="1" applyBorder="1">
      <alignment vertical="center"/>
    </xf>
    <xf numFmtId="165" fontId="0" fillId="2" borderId="12" xfId="1" applyNumberFormat="1" applyFill="1" applyBorder="1">
      <alignment vertical="center"/>
    </xf>
    <xf numFmtId="0" fontId="0" fillId="2" borderId="13" xfId="0" applyFill="1" applyBorder="1" applyAlignment="1">
      <alignment vertical="center"/>
    </xf>
    <xf numFmtId="165" fontId="1" fillId="3" borderId="2" xfId="1" applyNumberFormat="1" applyFont="1" applyFill="1" applyBorder="1">
      <alignment vertical="center"/>
    </xf>
    <xf numFmtId="0" fontId="1" fillId="3" borderId="3" xfId="0" applyFont="1" applyFill="1" applyBorder="1" applyAlignment="1">
      <alignment vertical="center"/>
    </xf>
    <xf numFmtId="0" fontId="1" fillId="2" borderId="0" xfId="0" applyFont="1" applyFill="1">
      <alignment vertical="center"/>
    </xf>
    <xf numFmtId="0" fontId="0" fillId="2" borderId="0" xfId="0" applyFill="1" applyAlignment="1"/>
    <xf numFmtId="0" fontId="3" fillId="2" borderId="0" xfId="3" applyFill="1" applyAlignment="1">
      <alignment horizontal="left" vertical="top"/>
    </xf>
    <xf numFmtId="0" fontId="0" fillId="2" borderId="0" xfId="0" applyFill="1">
      <alignment vertical="center"/>
    </xf>
    <xf numFmtId="0" fontId="1" fillId="4" borderId="11" xfId="0" applyFont="1" applyFill="1" applyBorder="1">
      <alignment vertical="center"/>
    </xf>
    <xf numFmtId="0" fontId="1" fillId="4" borderId="8" xfId="0" applyFont="1" applyFill="1" applyBorder="1">
      <alignment vertical="center"/>
    </xf>
    <xf numFmtId="165" fontId="1" fillId="4" borderId="8" xfId="1" applyNumberFormat="1" applyFont="1" applyFill="1" applyBorder="1">
      <alignment vertical="center"/>
    </xf>
    <xf numFmtId="165" fontId="1" fillId="4" borderId="9" xfId="1" applyNumberFormat="1" applyFont="1" applyFill="1" applyBorder="1">
      <alignment vertical="center"/>
    </xf>
    <xf numFmtId="0" fontId="1" fillId="5" borderId="11" xfId="0" applyFont="1" applyFill="1" applyBorder="1">
      <alignment vertical="center"/>
    </xf>
    <xf numFmtId="0" fontId="1" fillId="5" borderId="8" xfId="0" applyFont="1" applyFill="1" applyBorder="1">
      <alignment vertical="center"/>
    </xf>
    <xf numFmtId="165" fontId="1" fillId="5" borderId="8" xfId="1" applyNumberFormat="1" applyFont="1" applyFill="1" applyBorder="1">
      <alignment vertical="center"/>
    </xf>
    <xf numFmtId="0" fontId="1" fillId="5" borderId="9" xfId="0" applyFont="1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1" fillId="2" borderId="11" xfId="0" applyFont="1" applyFill="1" applyBorder="1">
      <alignment vertical="center"/>
    </xf>
    <xf numFmtId="0" fontId="0" fillId="2" borderId="8" xfId="0" applyFill="1" applyBorder="1" applyAlignment="1"/>
    <xf numFmtId="165" fontId="0" fillId="2" borderId="8" xfId="1" applyNumberFormat="1" applyFont="1" applyFill="1" applyBorder="1" applyAlignment="1">
      <alignment horizontal="right"/>
    </xf>
    <xf numFmtId="0" fontId="0" fillId="2" borderId="9" xfId="0" applyFill="1" applyBorder="1" applyAlignment="1"/>
    <xf numFmtId="0" fontId="5" fillId="2" borderId="8" xfId="3" applyFont="1" applyFill="1" applyBorder="1" applyAlignment="1">
      <alignment horizontal="left" vertical="top"/>
    </xf>
    <xf numFmtId="165" fontId="5" fillId="2" borderId="8" xfId="1" applyNumberFormat="1" applyFont="1" applyFill="1" applyBorder="1" applyAlignment="1">
      <alignment horizontal="right" vertical="top"/>
    </xf>
    <xf numFmtId="0" fontId="3" fillId="2" borderId="8" xfId="3" applyFill="1" applyBorder="1" applyAlignment="1">
      <alignment horizontal="left" vertical="top"/>
    </xf>
    <xf numFmtId="0" fontId="5" fillId="2" borderId="9" xfId="3" applyFont="1" applyFill="1" applyBorder="1" applyAlignment="1">
      <alignment horizontal="left" vertical="top"/>
    </xf>
    <xf numFmtId="0" fontId="1" fillId="2" borderId="14" xfId="0" applyFont="1" applyFill="1" applyBorder="1">
      <alignment vertical="center"/>
    </xf>
    <xf numFmtId="0" fontId="0" fillId="2" borderId="15" xfId="0" applyFill="1" applyBorder="1">
      <alignment vertical="center"/>
    </xf>
    <xf numFmtId="165" fontId="0" fillId="2" borderId="15" xfId="1" applyNumberFormat="1" applyFill="1" applyBorder="1">
      <alignment vertical="center"/>
    </xf>
    <xf numFmtId="0" fontId="0" fillId="2" borderId="16" xfId="0" applyFill="1" applyBorder="1">
      <alignment vertical="center"/>
    </xf>
    <xf numFmtId="0" fontId="1" fillId="2" borderId="4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4" fillId="2" borderId="11" xfId="3" applyFont="1" applyFill="1" applyBorder="1" applyAlignment="1">
      <alignment horizontal="left" vertical="center"/>
    </xf>
    <xf numFmtId="0" fontId="2" fillId="4" borderId="1" xfId="2" applyFont="1" applyFill="1" applyBorder="1" applyAlignment="1">
      <alignment horizontal="center"/>
    </xf>
    <xf numFmtId="0" fontId="2" fillId="4" borderId="2" xfId="2" applyFont="1" applyFill="1" applyBorder="1" applyAlignment="1">
      <alignment horizontal="center"/>
    </xf>
    <xf numFmtId="168" fontId="2" fillId="4" borderId="2" xfId="1" applyNumberFormat="1" applyFont="1" applyFill="1" applyBorder="1" applyAlignment="1" applyProtection="1">
      <alignment horizontal="center"/>
    </xf>
    <xf numFmtId="165" fontId="2" fillId="4" borderId="2" xfId="1" applyNumberFormat="1" applyFont="1" applyFill="1" applyBorder="1" applyAlignment="1" applyProtection="1">
      <alignment horizontal="center"/>
    </xf>
    <xf numFmtId="0" fontId="2" fillId="4" borderId="3" xfId="2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8" fontId="1" fillId="3" borderId="2" xfId="1" applyNumberFormat="1" applyFont="1" applyFill="1" applyBorder="1" applyAlignment="1">
      <alignment horizontal="center" vertical="center"/>
    </xf>
    <xf numFmtId="165" fontId="1" fillId="3" borderId="2" xfId="1" applyNumberFormat="1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 2" xfId="3"/>
    <cellStyle name="Normal 2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54"/>
  <sheetViews>
    <sheetView tabSelected="1" zoomScale="110" zoomScaleNormal="110" workbookViewId="0">
      <selection activeCell="C16" sqref="C16"/>
    </sheetView>
  </sheetViews>
  <sheetFormatPr defaultColWidth="10" defaultRowHeight="15"/>
  <cols>
    <col min="1" max="1" width="10" style="28"/>
    <col min="2" max="2" width="33.5703125" style="25" customWidth="1"/>
    <col min="3" max="3" width="60.7109375" style="28" customWidth="1"/>
    <col min="4" max="4" width="10.7109375" style="4"/>
    <col min="5" max="5" width="10" style="28"/>
    <col min="6" max="6" width="11.42578125" style="4" customWidth="1"/>
    <col min="7" max="7" width="11.42578125" style="28" customWidth="1"/>
    <col min="8" max="8" width="58.7109375" style="28" customWidth="1"/>
    <col min="9" max="12" width="10" style="28"/>
    <col min="13" max="13" width="10.7109375" style="28"/>
    <col min="14" max="16384" width="10" style="28"/>
  </cols>
  <sheetData>
    <row r="2" spans="2:8" s="25" customFormat="1">
      <c r="B2" s="29" t="s">
        <v>0</v>
      </c>
      <c r="C2" s="30" t="s">
        <v>1</v>
      </c>
      <c r="D2" s="31" t="s">
        <v>2</v>
      </c>
      <c r="E2" s="30" t="s">
        <v>3</v>
      </c>
      <c r="F2" s="31" t="s">
        <v>4</v>
      </c>
      <c r="G2" s="30" t="s">
        <v>3</v>
      </c>
      <c r="H2" s="32" t="s">
        <v>5</v>
      </c>
    </row>
    <row r="3" spans="2:8">
      <c r="B3" s="33" t="s">
        <v>6</v>
      </c>
      <c r="C3" s="34"/>
      <c r="D3" s="35"/>
      <c r="E3" s="34"/>
      <c r="F3" s="35"/>
      <c r="G3" s="34"/>
      <c r="H3" s="36"/>
    </row>
    <row r="4" spans="2:8">
      <c r="B4" s="51" t="s">
        <v>7</v>
      </c>
      <c r="C4" s="37" t="s">
        <v>8</v>
      </c>
      <c r="D4" s="16">
        <v>2</v>
      </c>
      <c r="E4" s="37" t="s">
        <v>9</v>
      </c>
      <c r="F4" s="16"/>
      <c r="G4" s="37"/>
      <c r="H4" s="38" t="s">
        <v>10</v>
      </c>
    </row>
    <row r="5" spans="2:8">
      <c r="B5" s="52" t="s">
        <v>7</v>
      </c>
      <c r="C5" s="37" t="s">
        <v>11</v>
      </c>
      <c r="D5" s="16">
        <v>6</v>
      </c>
      <c r="E5" s="37" t="s">
        <v>9</v>
      </c>
      <c r="F5" s="16"/>
      <c r="G5" s="37"/>
      <c r="H5" s="38" t="s">
        <v>12</v>
      </c>
    </row>
    <row r="6" spans="2:8">
      <c r="B6" s="52" t="s">
        <v>7</v>
      </c>
      <c r="C6" s="37" t="s">
        <v>13</v>
      </c>
      <c r="D6" s="16">
        <v>1</v>
      </c>
      <c r="E6" s="37" t="s">
        <v>9</v>
      </c>
      <c r="F6" s="16"/>
      <c r="G6" s="37"/>
      <c r="H6" s="38" t="s">
        <v>12</v>
      </c>
    </row>
    <row r="7" spans="2:8">
      <c r="B7" s="52" t="s">
        <v>7</v>
      </c>
      <c r="C7" s="37" t="s">
        <v>14</v>
      </c>
      <c r="D7" s="16">
        <v>15258</v>
      </c>
      <c r="E7" s="37" t="s">
        <v>15</v>
      </c>
      <c r="F7" s="16"/>
      <c r="G7" s="37"/>
      <c r="H7" s="38" t="s">
        <v>12</v>
      </c>
    </row>
    <row r="8" spans="2:8">
      <c r="B8" s="52" t="s">
        <v>7</v>
      </c>
      <c r="C8" s="37" t="s">
        <v>16</v>
      </c>
      <c r="D8" s="16">
        <v>4033</v>
      </c>
      <c r="E8" s="37" t="s">
        <v>15</v>
      </c>
      <c r="F8" s="16"/>
      <c r="G8" s="37"/>
      <c r="H8" s="38" t="s">
        <v>12</v>
      </c>
    </row>
    <row r="9" spans="2:8">
      <c r="B9" s="52" t="s">
        <v>7</v>
      </c>
      <c r="C9" s="37" t="s">
        <v>17</v>
      </c>
      <c r="D9" s="16">
        <v>98.32</v>
      </c>
      <c r="E9" s="37" t="s">
        <v>18</v>
      </c>
      <c r="F9" s="16"/>
      <c r="G9" s="37"/>
      <c r="H9" s="38" t="s">
        <v>12</v>
      </c>
    </row>
    <row r="10" spans="2:8">
      <c r="B10" s="52" t="s">
        <v>7</v>
      </c>
      <c r="C10" s="37" t="s">
        <v>19</v>
      </c>
      <c r="D10" s="16">
        <v>2066.2199999999998</v>
      </c>
      <c r="E10" s="37" t="s">
        <v>18</v>
      </c>
      <c r="F10" s="16"/>
      <c r="G10" s="37"/>
      <c r="H10" s="38" t="s">
        <v>12</v>
      </c>
    </row>
    <row r="11" spans="2:8">
      <c r="B11" s="52" t="s">
        <v>7</v>
      </c>
      <c r="C11" s="37" t="s">
        <v>20</v>
      </c>
      <c r="D11" s="16">
        <v>4</v>
      </c>
      <c r="E11" s="37" t="s">
        <v>9</v>
      </c>
      <c r="F11" s="16"/>
      <c r="G11" s="37"/>
      <c r="H11" s="38" t="s">
        <v>12</v>
      </c>
    </row>
    <row r="12" spans="2:8">
      <c r="B12" s="33" t="s">
        <v>21</v>
      </c>
      <c r="C12" s="34"/>
      <c r="D12" s="35"/>
      <c r="E12" s="34"/>
      <c r="F12" s="35"/>
      <c r="G12" s="34"/>
      <c r="H12" s="36"/>
    </row>
    <row r="13" spans="2:8">
      <c r="B13" s="39" t="s">
        <v>22</v>
      </c>
      <c r="C13" s="37" t="s">
        <v>23</v>
      </c>
      <c r="D13" s="16">
        <v>3905.27</v>
      </c>
      <c r="E13" s="37" t="s">
        <v>18</v>
      </c>
      <c r="F13" s="16">
        <f>0.5*0.5*D13/27</f>
        <v>36.15990740740741</v>
      </c>
      <c r="G13" s="37" t="s">
        <v>24</v>
      </c>
      <c r="H13" s="38" t="s">
        <v>25</v>
      </c>
    </row>
    <row r="14" spans="2:8">
      <c r="B14" s="51" t="s">
        <v>26</v>
      </c>
      <c r="C14" s="37" t="s">
        <v>27</v>
      </c>
      <c r="D14" s="16">
        <v>408.73</v>
      </c>
      <c r="E14" s="37" t="s">
        <v>18</v>
      </c>
      <c r="F14" s="16">
        <f>1.667*2*D14/27</f>
        <v>50.470585925925931</v>
      </c>
      <c r="G14" s="37" t="s">
        <v>24</v>
      </c>
      <c r="H14" s="38" t="s">
        <v>28</v>
      </c>
    </row>
    <row r="15" spans="2:8">
      <c r="B15" s="52" t="s">
        <v>26</v>
      </c>
      <c r="C15" s="37" t="s">
        <v>29</v>
      </c>
      <c r="D15" s="16">
        <v>49.01</v>
      </c>
      <c r="E15" s="37" t="s">
        <v>18</v>
      </c>
      <c r="F15" s="16">
        <f>1.667*3.667*D15/27</f>
        <v>11.09602555148148</v>
      </c>
      <c r="G15" s="37" t="s">
        <v>24</v>
      </c>
      <c r="H15" s="38" t="s">
        <v>28</v>
      </c>
    </row>
    <row r="16" spans="2:8">
      <c r="B16" s="52" t="s">
        <v>26</v>
      </c>
      <c r="C16" s="37" t="s">
        <v>30</v>
      </c>
      <c r="D16" s="16">
        <v>11.84</v>
      </c>
      <c r="E16" s="37" t="s">
        <v>18</v>
      </c>
      <c r="F16" s="16">
        <f>2*2*D16/27</f>
        <v>1.7540740740740741</v>
      </c>
      <c r="G16" s="37" t="s">
        <v>24</v>
      </c>
      <c r="H16" s="38" t="s">
        <v>31</v>
      </c>
    </row>
    <row r="17" spans="2:8">
      <c r="B17" s="52" t="s">
        <v>26</v>
      </c>
      <c r="C17" s="37" t="s">
        <v>32</v>
      </c>
      <c r="D17" s="16">
        <v>12.02</v>
      </c>
      <c r="E17" s="37" t="s">
        <v>18</v>
      </c>
      <c r="F17" s="16">
        <f>2.167*2*D17/27</f>
        <v>1.9294325925925924</v>
      </c>
      <c r="G17" s="37" t="s">
        <v>24</v>
      </c>
      <c r="H17" s="38" t="s">
        <v>28</v>
      </c>
    </row>
    <row r="18" spans="2:8">
      <c r="B18" s="52" t="s">
        <v>26</v>
      </c>
      <c r="C18" s="37" t="s">
        <v>33</v>
      </c>
      <c r="D18" s="16">
        <v>21.46</v>
      </c>
      <c r="E18" s="37" t="s">
        <v>18</v>
      </c>
      <c r="F18" s="16">
        <f>2.667*2*D18/27</f>
        <v>4.2395422222222221</v>
      </c>
      <c r="G18" s="37" t="s">
        <v>24</v>
      </c>
      <c r="H18" s="38" t="s">
        <v>28</v>
      </c>
    </row>
    <row r="19" spans="2:8">
      <c r="B19" s="52" t="s">
        <v>26</v>
      </c>
      <c r="C19" s="37" t="s">
        <v>34</v>
      </c>
      <c r="D19" s="16">
        <v>5.32</v>
      </c>
      <c r="E19" s="37" t="s">
        <v>18</v>
      </c>
      <c r="F19" s="16">
        <f>3.25*2*D19/27</f>
        <v>1.2807407407407407</v>
      </c>
      <c r="G19" s="37" t="s">
        <v>24</v>
      </c>
      <c r="H19" s="38" t="s">
        <v>31</v>
      </c>
    </row>
    <row r="20" spans="2:8">
      <c r="B20" s="52" t="s">
        <v>26</v>
      </c>
      <c r="C20" s="37" t="s">
        <v>35</v>
      </c>
      <c r="D20" s="16">
        <v>20.48</v>
      </c>
      <c r="E20" s="37" t="s">
        <v>18</v>
      </c>
      <c r="F20" s="16">
        <f>3.417*2*D20/27</f>
        <v>5.1837155555555556</v>
      </c>
      <c r="G20" s="37" t="s">
        <v>24</v>
      </c>
      <c r="H20" s="38" t="s">
        <v>28</v>
      </c>
    </row>
    <row r="21" spans="2:8">
      <c r="B21" s="52" t="s">
        <v>26</v>
      </c>
      <c r="C21" s="37" t="s">
        <v>36</v>
      </c>
      <c r="D21" s="16">
        <v>2</v>
      </c>
      <c r="E21" s="37" t="s">
        <v>9</v>
      </c>
      <c r="F21" s="16">
        <f>5*5*1*D21/27</f>
        <v>1.8518518518518519</v>
      </c>
      <c r="G21" s="37" t="s">
        <v>24</v>
      </c>
      <c r="H21" s="38" t="s">
        <v>28</v>
      </c>
    </row>
    <row r="22" spans="2:8">
      <c r="B22" s="52" t="s">
        <v>26</v>
      </c>
      <c r="C22" s="37" t="s">
        <v>37</v>
      </c>
      <c r="D22" s="16">
        <v>2</v>
      </c>
      <c r="E22" s="37" t="s">
        <v>9</v>
      </c>
      <c r="F22" s="16">
        <f>6*6*1*D22/27</f>
        <v>2.6666666666666665</v>
      </c>
      <c r="G22" s="37" t="s">
        <v>24</v>
      </c>
      <c r="H22" s="38" t="s">
        <v>28</v>
      </c>
    </row>
    <row r="23" spans="2:8">
      <c r="B23" s="39" t="s">
        <v>38</v>
      </c>
      <c r="C23" s="37" t="s">
        <v>39</v>
      </c>
      <c r="D23" s="16">
        <v>3823.19</v>
      </c>
      <c r="E23" s="37" t="s">
        <v>18</v>
      </c>
      <c r="F23" s="16">
        <f>2*0.5*D23/27</f>
        <v>141.59962962962962</v>
      </c>
      <c r="G23" s="37" t="s">
        <v>24</v>
      </c>
      <c r="H23" s="38" t="s">
        <v>25</v>
      </c>
    </row>
    <row r="24" spans="2:8">
      <c r="B24" s="39" t="s">
        <v>40</v>
      </c>
      <c r="C24" s="37" t="s">
        <v>41</v>
      </c>
      <c r="D24" s="16">
        <v>200</v>
      </c>
      <c r="E24" s="37" t="s">
        <v>15</v>
      </c>
      <c r="F24" s="16">
        <f>0.33*D24/27</f>
        <v>2.4444444444444446</v>
      </c>
      <c r="G24" s="37" t="s">
        <v>24</v>
      </c>
      <c r="H24" s="38" t="s">
        <v>25</v>
      </c>
    </row>
    <row r="25" spans="2:8">
      <c r="B25" s="51" t="s">
        <v>42</v>
      </c>
      <c r="C25" s="37" t="s">
        <v>43</v>
      </c>
      <c r="D25" s="16">
        <v>3378</v>
      </c>
      <c r="E25" s="37" t="s">
        <v>15</v>
      </c>
      <c r="F25" s="16">
        <f>0.5*D25/27</f>
        <v>62.555555555555557</v>
      </c>
      <c r="G25" s="37" t="s">
        <v>24</v>
      </c>
      <c r="H25" s="38" t="s">
        <v>44</v>
      </c>
    </row>
    <row r="26" spans="2:8">
      <c r="B26" s="52" t="s">
        <v>42</v>
      </c>
      <c r="C26" s="37" t="s">
        <v>45</v>
      </c>
      <c r="D26" s="16">
        <v>66102</v>
      </c>
      <c r="E26" s="37" t="s">
        <v>15</v>
      </c>
      <c r="F26" s="16">
        <f>0.5*D26/27</f>
        <v>1224.1111111111111</v>
      </c>
      <c r="G26" s="37" t="s">
        <v>24</v>
      </c>
      <c r="H26" s="38" t="s">
        <v>25</v>
      </c>
    </row>
    <row r="27" spans="2:8">
      <c r="B27" s="52" t="s">
        <v>42</v>
      </c>
      <c r="C27" s="37" t="s">
        <v>46</v>
      </c>
      <c r="D27" s="16">
        <v>98645</v>
      </c>
      <c r="E27" s="37" t="s">
        <v>15</v>
      </c>
      <c r="F27" s="16">
        <f>0.625*D27/27</f>
        <v>2283.4490740740739</v>
      </c>
      <c r="G27" s="37" t="s">
        <v>24</v>
      </c>
      <c r="H27" s="38" t="s">
        <v>44</v>
      </c>
    </row>
    <row r="28" spans="2:8" ht="409.6">
      <c r="B28" s="39" t="s">
        <v>47</v>
      </c>
      <c r="C28" s="37" t="s">
        <v>48</v>
      </c>
      <c r="D28" s="16">
        <v>28</v>
      </c>
      <c r="E28" s="37" t="s">
        <v>9</v>
      </c>
      <c r="F28" s="16">
        <f>3.14*2.75*2.75*4.75*D28/27</f>
        <v>116.9722685185185</v>
      </c>
      <c r="G28" s="37" t="s">
        <v>24</v>
      </c>
      <c r="H28" s="38" t="s">
        <v>49</v>
      </c>
    </row>
    <row r="29" spans="2:8">
      <c r="B29" s="39" t="s">
        <v>50</v>
      </c>
      <c r="C29" s="37" t="s">
        <v>51</v>
      </c>
      <c r="D29" s="16">
        <v>9974</v>
      </c>
      <c r="E29" s="37" t="s">
        <v>15</v>
      </c>
      <c r="F29" s="16">
        <f>0.33*D29/27</f>
        <v>121.90444444444445</v>
      </c>
      <c r="G29" s="37" t="s">
        <v>24</v>
      </c>
      <c r="H29" s="38" t="s">
        <v>25</v>
      </c>
    </row>
    <row r="30" spans="2:8">
      <c r="B30" s="51" t="s">
        <v>52</v>
      </c>
      <c r="C30" s="37" t="s">
        <v>53</v>
      </c>
      <c r="D30" s="16">
        <v>8167</v>
      </c>
      <c r="E30" s="37" t="s">
        <v>15</v>
      </c>
      <c r="F30" s="16">
        <f>0.33*D30/27</f>
        <v>99.818888888888893</v>
      </c>
      <c r="G30" s="37" t="s">
        <v>24</v>
      </c>
      <c r="H30" s="38" t="s">
        <v>28</v>
      </c>
    </row>
    <row r="31" spans="2:8">
      <c r="B31" s="52" t="s">
        <v>52</v>
      </c>
      <c r="C31" s="37" t="s">
        <v>54</v>
      </c>
      <c r="D31" s="16">
        <v>10249.379999999999</v>
      </c>
      <c r="E31" s="37" t="s">
        <v>15</v>
      </c>
      <c r="F31" s="16">
        <f>0.5*D31/27</f>
        <v>189.80333333333331</v>
      </c>
      <c r="G31" s="37" t="s">
        <v>24</v>
      </c>
      <c r="H31" s="38" t="s">
        <v>55</v>
      </c>
    </row>
    <row r="32" spans="2:8">
      <c r="B32" s="52" t="s">
        <v>52</v>
      </c>
      <c r="C32" s="37" t="s">
        <v>56</v>
      </c>
      <c r="D32" s="16">
        <v>431</v>
      </c>
      <c r="E32" s="37" t="s">
        <v>15</v>
      </c>
      <c r="F32" s="16">
        <f>0.667*D32/27</f>
        <v>10.647296296296297</v>
      </c>
      <c r="G32" s="37" t="s">
        <v>24</v>
      </c>
      <c r="H32" s="38" t="s">
        <v>31</v>
      </c>
    </row>
    <row r="33" spans="2:8">
      <c r="B33" s="51" t="s">
        <v>57</v>
      </c>
      <c r="C33" s="37" t="s">
        <v>58</v>
      </c>
      <c r="D33" s="16">
        <v>42.03</v>
      </c>
      <c r="E33" s="37" t="s">
        <v>18</v>
      </c>
      <c r="F33" s="16">
        <f>2*0.33*D33/27</f>
        <v>1.0274000000000001</v>
      </c>
      <c r="G33" s="37" t="s">
        <v>24</v>
      </c>
      <c r="H33" s="38" t="s">
        <v>28</v>
      </c>
    </row>
    <row r="34" spans="2:8">
      <c r="B34" s="52" t="s">
        <v>57</v>
      </c>
      <c r="C34" s="37" t="s">
        <v>59</v>
      </c>
      <c r="D34" s="16">
        <v>5.09</v>
      </c>
      <c r="E34" s="37" t="s">
        <v>18</v>
      </c>
      <c r="F34" s="16">
        <f>2*2.33*D34/27</f>
        <v>0.87849629629629633</v>
      </c>
      <c r="G34" s="37" t="s">
        <v>24</v>
      </c>
      <c r="H34" s="38" t="s">
        <v>28</v>
      </c>
    </row>
    <row r="35" spans="2:8">
      <c r="B35" s="52" t="s">
        <v>57</v>
      </c>
      <c r="C35" s="37" t="s">
        <v>60</v>
      </c>
      <c r="D35" s="16">
        <v>2.2999999999999998</v>
      </c>
      <c r="E35" s="37" t="s">
        <v>18</v>
      </c>
      <c r="F35" s="16">
        <f>2.5*0.33*D35/27</f>
        <v>7.0277777777777772E-2</v>
      </c>
      <c r="G35" s="37" t="s">
        <v>24</v>
      </c>
      <c r="H35" s="38" t="s">
        <v>28</v>
      </c>
    </row>
    <row r="36" spans="2:8">
      <c r="B36" s="52" t="s">
        <v>57</v>
      </c>
      <c r="C36" s="37" t="s">
        <v>61</v>
      </c>
      <c r="D36" s="16">
        <v>1.62</v>
      </c>
      <c r="E36" s="37" t="s">
        <v>18</v>
      </c>
      <c r="F36" s="16">
        <f>3*0.33*D36/27</f>
        <v>5.9400000000000001E-2</v>
      </c>
      <c r="G36" s="37" t="s">
        <v>24</v>
      </c>
      <c r="H36" s="38" t="s">
        <v>28</v>
      </c>
    </row>
    <row r="37" spans="2:8">
      <c r="B37" s="33" t="s">
        <v>62</v>
      </c>
      <c r="C37" s="34"/>
      <c r="D37" s="35"/>
      <c r="E37" s="34"/>
      <c r="F37" s="35"/>
      <c r="G37" s="34"/>
      <c r="H37" s="36"/>
    </row>
    <row r="38" spans="2:8">
      <c r="B38" s="51" t="s">
        <v>63</v>
      </c>
      <c r="C38" s="37" t="s">
        <v>64</v>
      </c>
      <c r="D38" s="16">
        <v>44.03</v>
      </c>
      <c r="E38" s="37" t="s">
        <v>18</v>
      </c>
      <c r="F38" s="16">
        <f>10.667*D38</f>
        <v>469.66800999999998</v>
      </c>
      <c r="G38" s="37" t="s">
        <v>15</v>
      </c>
      <c r="H38" s="38" t="s">
        <v>65</v>
      </c>
    </row>
    <row r="39" spans="2:8">
      <c r="B39" s="52" t="s">
        <v>63</v>
      </c>
      <c r="C39" s="37" t="s">
        <v>66</v>
      </c>
      <c r="D39" s="16">
        <v>50.73</v>
      </c>
      <c r="E39" s="37" t="s">
        <v>18</v>
      </c>
      <c r="F39" s="16">
        <f>8.667*D39</f>
        <v>439.67690999999996</v>
      </c>
      <c r="G39" s="37" t="s">
        <v>15</v>
      </c>
      <c r="H39" s="38" t="s">
        <v>65</v>
      </c>
    </row>
    <row r="40" spans="2:8">
      <c r="B40" s="52" t="s">
        <v>63</v>
      </c>
      <c r="C40" s="37" t="s">
        <v>67</v>
      </c>
      <c r="D40" s="16">
        <v>16.68</v>
      </c>
      <c r="E40" s="37" t="s">
        <v>18</v>
      </c>
      <c r="F40" s="16">
        <f>10.667*D40</f>
        <v>177.92555999999999</v>
      </c>
      <c r="G40" s="37" t="s">
        <v>15</v>
      </c>
      <c r="H40" s="38" t="s">
        <v>68</v>
      </c>
    </row>
    <row r="41" spans="2:8">
      <c r="B41" s="52" t="s">
        <v>63</v>
      </c>
      <c r="C41" s="37" t="s">
        <v>69</v>
      </c>
      <c r="D41" s="16">
        <v>15.92</v>
      </c>
      <c r="E41" s="37" t="s">
        <v>18</v>
      </c>
      <c r="F41" s="16">
        <f>12.33*D41</f>
        <v>196.2936</v>
      </c>
      <c r="G41" s="37" t="s">
        <v>15</v>
      </c>
      <c r="H41" s="38" t="s">
        <v>68</v>
      </c>
    </row>
    <row r="42" spans="2:8">
      <c r="B42" s="52" t="s">
        <v>63</v>
      </c>
      <c r="C42" s="37" t="s">
        <v>70</v>
      </c>
      <c r="D42" s="16">
        <v>68.66</v>
      </c>
      <c r="E42" s="37" t="s">
        <v>18</v>
      </c>
      <c r="F42" s="16">
        <f>14.33*D42</f>
        <v>983.89779999999996</v>
      </c>
      <c r="G42" s="37" t="s">
        <v>15</v>
      </c>
      <c r="H42" s="38" t="s">
        <v>68</v>
      </c>
    </row>
    <row r="43" spans="2:8">
      <c r="B43" s="52" t="s">
        <v>63</v>
      </c>
      <c r="C43" s="37" t="s">
        <v>71</v>
      </c>
      <c r="D43" s="16">
        <v>44.04</v>
      </c>
      <c r="E43" s="37" t="s">
        <v>18</v>
      </c>
      <c r="F43" s="16">
        <f>14.667*D43</f>
        <v>645.93467999999996</v>
      </c>
      <c r="G43" s="37" t="s">
        <v>15</v>
      </c>
      <c r="H43" s="38" t="s">
        <v>68</v>
      </c>
    </row>
    <row r="44" spans="2:8">
      <c r="B44" s="52" t="s">
        <v>63</v>
      </c>
      <c r="C44" s="37" t="s">
        <v>72</v>
      </c>
      <c r="D44" s="16">
        <v>191.59</v>
      </c>
      <c r="E44" s="37" t="s">
        <v>18</v>
      </c>
      <c r="F44" s="16">
        <f>16.667*D44</f>
        <v>3193.2305300000003</v>
      </c>
      <c r="G44" s="37" t="s">
        <v>15</v>
      </c>
      <c r="H44" s="38" t="s">
        <v>68</v>
      </c>
    </row>
    <row r="45" spans="2:8">
      <c r="B45" s="52" t="s">
        <v>63</v>
      </c>
      <c r="C45" s="37" t="s">
        <v>73</v>
      </c>
      <c r="D45" s="16">
        <v>12.56</v>
      </c>
      <c r="E45" s="37" t="s">
        <v>18</v>
      </c>
      <c r="F45" s="16">
        <f>17.667*D45</f>
        <v>221.89752000000004</v>
      </c>
      <c r="G45" s="37" t="s">
        <v>15</v>
      </c>
      <c r="H45" s="38" t="s">
        <v>68</v>
      </c>
    </row>
    <row r="46" spans="2:8">
      <c r="B46" s="52" t="s">
        <v>63</v>
      </c>
      <c r="C46" s="37" t="s">
        <v>74</v>
      </c>
      <c r="D46" s="16">
        <v>20.18</v>
      </c>
      <c r="E46" s="37" t="s">
        <v>18</v>
      </c>
      <c r="F46" s="16">
        <f>18.33*D46</f>
        <v>369.89939999999996</v>
      </c>
      <c r="G46" s="37" t="s">
        <v>15</v>
      </c>
      <c r="H46" s="38" t="s">
        <v>68</v>
      </c>
    </row>
    <row r="47" spans="2:8">
      <c r="B47" s="52" t="s">
        <v>63</v>
      </c>
      <c r="C47" s="37" t="s">
        <v>75</v>
      </c>
      <c r="D47" s="16">
        <v>28.76</v>
      </c>
      <c r="E47" s="37" t="s">
        <v>18</v>
      </c>
      <c r="F47" s="16">
        <f>20.33*D47</f>
        <v>584.69079999999997</v>
      </c>
      <c r="G47" s="37" t="s">
        <v>15</v>
      </c>
      <c r="H47" s="38" t="s">
        <v>68</v>
      </c>
    </row>
    <row r="48" spans="2:8">
      <c r="B48" s="52" t="s">
        <v>63</v>
      </c>
      <c r="C48" s="37" t="s">
        <v>76</v>
      </c>
      <c r="D48" s="16">
        <v>29.22</v>
      </c>
      <c r="E48" s="37" t="s">
        <v>18</v>
      </c>
      <c r="F48" s="16">
        <f>5*D48</f>
        <v>146.1</v>
      </c>
      <c r="G48" s="37" t="s">
        <v>15</v>
      </c>
      <c r="H48" s="38" t="s">
        <v>68</v>
      </c>
    </row>
    <row r="49" spans="2:8">
      <c r="B49" s="51" t="s">
        <v>77</v>
      </c>
      <c r="C49" s="37" t="s">
        <v>78</v>
      </c>
      <c r="D49" s="16">
        <v>553.61</v>
      </c>
      <c r="E49" s="37" t="s">
        <v>18</v>
      </c>
      <c r="F49" s="16"/>
      <c r="G49" s="37"/>
      <c r="H49" s="38" t="s">
        <v>79</v>
      </c>
    </row>
    <row r="50" spans="2:8">
      <c r="B50" s="52" t="s">
        <v>77</v>
      </c>
      <c r="C50" s="37" t="s">
        <v>80</v>
      </c>
      <c r="D50" s="16">
        <v>168.63</v>
      </c>
      <c r="E50" s="37" t="s">
        <v>18</v>
      </c>
      <c r="F50" s="16"/>
      <c r="G50" s="37"/>
      <c r="H50" s="38" t="s">
        <v>81</v>
      </c>
    </row>
    <row r="51" spans="2:8">
      <c r="B51" s="52" t="s">
        <v>77</v>
      </c>
      <c r="C51" s="37" t="s">
        <v>82</v>
      </c>
      <c r="D51" s="16">
        <v>4121</v>
      </c>
      <c r="E51" s="37" t="s">
        <v>15</v>
      </c>
      <c r="F51" s="16"/>
      <c r="G51" s="37"/>
      <c r="H51" s="38" t="s">
        <v>79</v>
      </c>
    </row>
    <row r="52" spans="2:8">
      <c r="B52" s="52" t="s">
        <v>77</v>
      </c>
      <c r="C52" s="37" t="s">
        <v>83</v>
      </c>
      <c r="D52" s="16">
        <v>472</v>
      </c>
      <c r="E52" s="37" t="s">
        <v>15</v>
      </c>
      <c r="F52" s="16"/>
      <c r="G52" s="37"/>
      <c r="H52" s="38" t="s">
        <v>65</v>
      </c>
    </row>
    <row r="53" spans="2:8">
      <c r="B53" s="52" t="s">
        <v>77</v>
      </c>
      <c r="C53" s="37" t="s">
        <v>84</v>
      </c>
      <c r="D53" s="16">
        <v>12.67</v>
      </c>
      <c r="E53" s="37" t="s">
        <v>18</v>
      </c>
      <c r="F53" s="16">
        <f>10*D53</f>
        <v>126.7</v>
      </c>
      <c r="G53" s="37" t="s">
        <v>15</v>
      </c>
      <c r="H53" s="38" t="s">
        <v>65</v>
      </c>
    </row>
    <row r="54" spans="2:8">
      <c r="B54" s="33" t="s">
        <v>85</v>
      </c>
      <c r="C54" s="34"/>
      <c r="D54" s="35"/>
      <c r="E54" s="34"/>
      <c r="F54" s="35"/>
      <c r="G54" s="34"/>
      <c r="H54" s="36"/>
    </row>
    <row r="55" spans="2:8">
      <c r="B55" s="39" t="s">
        <v>86</v>
      </c>
      <c r="C55" s="37" t="s">
        <v>87</v>
      </c>
      <c r="D55" s="16">
        <v>8413</v>
      </c>
      <c r="E55" s="37" t="s">
        <v>15</v>
      </c>
      <c r="F55" s="16"/>
      <c r="G55" s="37"/>
      <c r="H55" s="38" t="s">
        <v>88</v>
      </c>
    </row>
    <row r="56" spans="2:8">
      <c r="B56" s="51" t="s">
        <v>86</v>
      </c>
      <c r="C56" s="37" t="s">
        <v>89</v>
      </c>
      <c r="D56" s="16">
        <v>224</v>
      </c>
      <c r="E56" s="37" t="s">
        <v>15</v>
      </c>
      <c r="F56" s="16"/>
      <c r="G56" s="37"/>
      <c r="H56" s="38" t="s">
        <v>88</v>
      </c>
    </row>
    <row r="57" spans="2:8">
      <c r="B57" s="52" t="s">
        <v>86</v>
      </c>
      <c r="C57" s="37" t="s">
        <v>90</v>
      </c>
      <c r="D57" s="16">
        <v>3679.14</v>
      </c>
      <c r="E57" s="37" t="s">
        <v>15</v>
      </c>
      <c r="F57" s="16"/>
      <c r="G57" s="37"/>
      <c r="H57" s="38" t="s">
        <v>91</v>
      </c>
    </row>
    <row r="58" spans="2:8">
      <c r="B58" s="51" t="s">
        <v>92</v>
      </c>
      <c r="C58" s="37" t="s">
        <v>93</v>
      </c>
      <c r="D58" s="16">
        <v>60.25</v>
      </c>
      <c r="E58" s="37" t="s">
        <v>18</v>
      </c>
      <c r="F58" s="16"/>
      <c r="G58" s="37"/>
      <c r="H58" s="38" t="s">
        <v>88</v>
      </c>
    </row>
    <row r="59" spans="2:8">
      <c r="B59" s="52" t="s">
        <v>92</v>
      </c>
      <c r="C59" s="37" t="s">
        <v>94</v>
      </c>
      <c r="D59" s="16">
        <v>2151.6460999999999</v>
      </c>
      <c r="E59" s="37" t="s">
        <v>18</v>
      </c>
      <c r="F59" s="16"/>
      <c r="G59" s="37"/>
      <c r="H59" s="38" t="s">
        <v>91</v>
      </c>
    </row>
    <row r="60" spans="2:8">
      <c r="B60" s="52" t="s">
        <v>92</v>
      </c>
      <c r="C60" s="37" t="s">
        <v>95</v>
      </c>
      <c r="D60" s="16">
        <v>112.18</v>
      </c>
      <c r="E60" s="37" t="s">
        <v>18</v>
      </c>
      <c r="F60" s="16"/>
      <c r="G60" s="37"/>
      <c r="H60" s="38" t="s">
        <v>88</v>
      </c>
    </row>
    <row r="61" spans="2:8">
      <c r="B61" s="52" t="s">
        <v>92</v>
      </c>
      <c r="C61" s="37" t="s">
        <v>96</v>
      </c>
      <c r="D61" s="16">
        <v>108.4</v>
      </c>
      <c r="E61" s="37" t="s">
        <v>18</v>
      </c>
      <c r="F61" s="16"/>
      <c r="G61" s="37"/>
      <c r="H61" s="38" t="s">
        <v>88</v>
      </c>
    </row>
    <row r="62" spans="2:8">
      <c r="B62" s="51" t="s">
        <v>97</v>
      </c>
      <c r="C62" s="37" t="s">
        <v>98</v>
      </c>
      <c r="D62" s="16">
        <v>82.95</v>
      </c>
      <c r="E62" s="37" t="s">
        <v>18</v>
      </c>
      <c r="F62" s="16"/>
      <c r="G62" s="37"/>
      <c r="H62" s="38" t="s">
        <v>88</v>
      </c>
    </row>
    <row r="63" spans="2:8">
      <c r="B63" s="52" t="s">
        <v>97</v>
      </c>
      <c r="C63" s="37" t="s">
        <v>99</v>
      </c>
      <c r="D63" s="16">
        <v>14.64</v>
      </c>
      <c r="E63" s="37" t="s">
        <v>18</v>
      </c>
      <c r="F63" s="16"/>
      <c r="G63" s="37"/>
      <c r="H63" s="38" t="s">
        <v>88</v>
      </c>
    </row>
    <row r="64" spans="2:8">
      <c r="B64" s="52" t="s">
        <v>97</v>
      </c>
      <c r="C64" s="37" t="s">
        <v>100</v>
      </c>
      <c r="D64" s="16">
        <v>35.19</v>
      </c>
      <c r="E64" s="37" t="s">
        <v>18</v>
      </c>
      <c r="F64" s="16"/>
      <c r="G64" s="37"/>
      <c r="H64" s="38" t="s">
        <v>88</v>
      </c>
    </row>
    <row r="65" spans="2:8">
      <c r="B65" s="52" t="s">
        <v>97</v>
      </c>
      <c r="C65" s="37" t="s">
        <v>101</v>
      </c>
      <c r="D65" s="16">
        <v>41.8</v>
      </c>
      <c r="E65" s="37" t="s">
        <v>18</v>
      </c>
      <c r="F65" s="16"/>
      <c r="G65" s="37"/>
      <c r="H65" s="38" t="s">
        <v>88</v>
      </c>
    </row>
    <row r="66" spans="2:8">
      <c r="B66" s="52" t="s">
        <v>97</v>
      </c>
      <c r="C66" s="37" t="s">
        <v>102</v>
      </c>
      <c r="D66" s="16">
        <v>339.99959999999999</v>
      </c>
      <c r="E66" s="37" t="s">
        <v>18</v>
      </c>
      <c r="F66" s="16"/>
      <c r="G66" s="37"/>
      <c r="H66" s="38" t="s">
        <v>103</v>
      </c>
    </row>
    <row r="67" spans="2:8">
      <c r="B67" s="52" t="s">
        <v>97</v>
      </c>
      <c r="C67" s="37" t="s">
        <v>104</v>
      </c>
      <c r="D67" s="16">
        <v>21.01</v>
      </c>
      <c r="E67" s="37" t="s">
        <v>18</v>
      </c>
      <c r="F67" s="16"/>
      <c r="G67" s="37"/>
      <c r="H67" s="38" t="s">
        <v>88</v>
      </c>
    </row>
    <row r="68" spans="2:8">
      <c r="B68" s="52" t="s">
        <v>97</v>
      </c>
      <c r="C68" s="37" t="s">
        <v>105</v>
      </c>
      <c r="D68" s="16">
        <v>3598.5871000000002</v>
      </c>
      <c r="E68" s="37" t="s">
        <v>18</v>
      </c>
      <c r="F68" s="16"/>
      <c r="G68" s="37"/>
      <c r="H68" s="38" t="s">
        <v>91</v>
      </c>
    </row>
    <row r="69" spans="2:8">
      <c r="B69" s="52" t="s">
        <v>97</v>
      </c>
      <c r="C69" s="37" t="s">
        <v>106</v>
      </c>
      <c r="D69" s="16">
        <v>29.47</v>
      </c>
      <c r="E69" s="37" t="s">
        <v>18</v>
      </c>
      <c r="F69" s="16"/>
      <c r="G69" s="37"/>
      <c r="H69" s="38" t="s">
        <v>88</v>
      </c>
    </row>
    <row r="70" spans="2:8">
      <c r="B70" s="52" t="s">
        <v>97</v>
      </c>
      <c r="C70" s="37" t="s">
        <v>107</v>
      </c>
      <c r="D70" s="16">
        <v>62.32</v>
      </c>
      <c r="E70" s="37" t="s">
        <v>18</v>
      </c>
      <c r="F70" s="16"/>
      <c r="G70" s="37"/>
      <c r="H70" s="38" t="s">
        <v>88</v>
      </c>
    </row>
    <row r="71" spans="2:8">
      <c r="B71" s="52" t="s">
        <v>97</v>
      </c>
      <c r="C71" s="37" t="s">
        <v>108</v>
      </c>
      <c r="D71" s="16">
        <v>58.34</v>
      </c>
      <c r="E71" s="37" t="s">
        <v>18</v>
      </c>
      <c r="F71" s="16"/>
      <c r="G71" s="37"/>
      <c r="H71" s="38" t="s">
        <v>88</v>
      </c>
    </row>
    <row r="72" spans="2:8">
      <c r="B72" s="52" t="s">
        <v>97</v>
      </c>
      <c r="C72" s="37" t="s">
        <v>109</v>
      </c>
      <c r="D72" s="16">
        <v>105.06950000000001</v>
      </c>
      <c r="E72" s="37" t="s">
        <v>18</v>
      </c>
      <c r="F72" s="16"/>
      <c r="G72" s="37"/>
      <c r="H72" s="38" t="s">
        <v>91</v>
      </c>
    </row>
    <row r="73" spans="2:8">
      <c r="B73" s="39" t="s">
        <v>110</v>
      </c>
      <c r="C73" s="37" t="s">
        <v>111</v>
      </c>
      <c r="D73" s="16">
        <v>103.2</v>
      </c>
      <c r="E73" s="37" t="s">
        <v>18</v>
      </c>
      <c r="F73" s="16"/>
      <c r="G73" s="37"/>
      <c r="H73" s="38" t="s">
        <v>88</v>
      </c>
    </row>
    <row r="74" spans="2:8">
      <c r="B74" s="51" t="s">
        <v>112</v>
      </c>
      <c r="C74" s="37" t="s">
        <v>113</v>
      </c>
      <c r="D74" s="16">
        <v>12</v>
      </c>
      <c r="E74" s="37" t="s">
        <v>9</v>
      </c>
      <c r="F74" s="16"/>
      <c r="G74" s="37"/>
      <c r="H74" s="38" t="s">
        <v>103</v>
      </c>
    </row>
    <row r="75" spans="2:8">
      <c r="B75" s="52" t="s">
        <v>112</v>
      </c>
      <c r="C75" s="37" t="s">
        <v>114</v>
      </c>
      <c r="D75" s="16">
        <v>16</v>
      </c>
      <c r="E75" s="37" t="s">
        <v>9</v>
      </c>
      <c r="F75" s="16"/>
      <c r="G75" s="37"/>
      <c r="H75" s="38" t="s">
        <v>91</v>
      </c>
    </row>
    <row r="76" spans="2:8">
      <c r="B76" s="52" t="s">
        <v>112</v>
      </c>
      <c r="C76" s="37" t="s">
        <v>115</v>
      </c>
      <c r="D76" s="16">
        <v>10</v>
      </c>
      <c r="E76" s="37" t="s">
        <v>9</v>
      </c>
      <c r="F76" s="16"/>
      <c r="G76" s="37"/>
      <c r="H76" s="38" t="s">
        <v>88</v>
      </c>
    </row>
    <row r="77" spans="2:8">
      <c r="B77" s="52" t="s">
        <v>112</v>
      </c>
      <c r="C77" s="37" t="s">
        <v>116</v>
      </c>
      <c r="D77" s="16">
        <v>2</v>
      </c>
      <c r="E77" s="37" t="s">
        <v>9</v>
      </c>
      <c r="F77" s="16"/>
      <c r="G77" s="37"/>
      <c r="H77" s="38" t="s">
        <v>28</v>
      </c>
    </row>
    <row r="78" spans="2:8">
      <c r="B78" s="52" t="s">
        <v>112</v>
      </c>
      <c r="C78" s="37" t="s">
        <v>117</v>
      </c>
      <c r="D78" s="16">
        <v>2</v>
      </c>
      <c r="E78" s="37" t="s">
        <v>9</v>
      </c>
      <c r="F78" s="16"/>
      <c r="G78" s="37"/>
      <c r="H78" s="38" t="s">
        <v>28</v>
      </c>
    </row>
    <row r="79" spans="2:8">
      <c r="B79" s="51" t="s">
        <v>118</v>
      </c>
      <c r="C79" s="37" t="s">
        <v>119</v>
      </c>
      <c r="D79" s="16">
        <v>179.88</v>
      </c>
      <c r="E79" s="37" t="s">
        <v>18</v>
      </c>
      <c r="F79" s="16"/>
      <c r="G79" s="37"/>
      <c r="H79" s="38" t="s">
        <v>88</v>
      </c>
    </row>
    <row r="80" spans="2:8">
      <c r="B80" s="52" t="s">
        <v>118</v>
      </c>
      <c r="C80" s="37" t="s">
        <v>120</v>
      </c>
      <c r="D80" s="16">
        <v>312.16000000000003</v>
      </c>
      <c r="E80" s="37" t="s">
        <v>18</v>
      </c>
      <c r="F80" s="16"/>
      <c r="G80" s="37"/>
      <c r="H80" s="38" t="s">
        <v>88</v>
      </c>
    </row>
    <row r="81" spans="2:8">
      <c r="B81" s="52" t="s">
        <v>118</v>
      </c>
      <c r="C81" s="37" t="s">
        <v>121</v>
      </c>
      <c r="D81" s="16">
        <v>588.41</v>
      </c>
      <c r="E81" s="37" t="s">
        <v>18</v>
      </c>
      <c r="F81" s="16"/>
      <c r="G81" s="37"/>
      <c r="H81" s="38" t="s">
        <v>88</v>
      </c>
    </row>
    <row r="82" spans="2:8">
      <c r="B82" s="52" t="s">
        <v>118</v>
      </c>
      <c r="C82" s="37" t="s">
        <v>122</v>
      </c>
      <c r="D82" s="16">
        <v>379.93</v>
      </c>
      <c r="E82" s="37" t="s">
        <v>18</v>
      </c>
      <c r="F82" s="16"/>
      <c r="G82" s="37"/>
      <c r="H82" s="38" t="s">
        <v>88</v>
      </c>
    </row>
    <row r="83" spans="2:8">
      <c r="B83" s="39" t="s">
        <v>123</v>
      </c>
      <c r="C83" s="37" t="s">
        <v>124</v>
      </c>
      <c r="D83" s="16">
        <v>87.35</v>
      </c>
      <c r="E83" s="37" t="s">
        <v>18</v>
      </c>
      <c r="F83" s="16"/>
      <c r="G83" s="37"/>
      <c r="H83" s="38" t="s">
        <v>88</v>
      </c>
    </row>
    <row r="84" spans="2:8">
      <c r="B84" s="33" t="s">
        <v>125</v>
      </c>
      <c r="C84" s="34"/>
      <c r="D84" s="35"/>
      <c r="E84" s="34"/>
      <c r="F84" s="35"/>
      <c r="G84" s="34"/>
      <c r="H84" s="36"/>
    </row>
    <row r="85" spans="2:8">
      <c r="B85" s="51" t="s">
        <v>126</v>
      </c>
      <c r="C85" s="37" t="s">
        <v>127</v>
      </c>
      <c r="D85" s="16">
        <v>427</v>
      </c>
      <c r="E85" s="37" t="s">
        <v>15</v>
      </c>
      <c r="F85" s="16"/>
      <c r="G85" s="37"/>
      <c r="H85" s="38" t="s">
        <v>128</v>
      </c>
    </row>
    <row r="86" spans="2:8">
      <c r="B86" s="52" t="s">
        <v>126</v>
      </c>
      <c r="C86" s="37" t="s">
        <v>129</v>
      </c>
      <c r="D86" s="16">
        <v>121.48</v>
      </c>
      <c r="E86" s="37" t="s">
        <v>18</v>
      </c>
      <c r="F86" s="16">
        <f>2.5*D86</f>
        <v>303.7</v>
      </c>
      <c r="G86" s="37" t="s">
        <v>15</v>
      </c>
      <c r="H86" s="38" t="s">
        <v>128</v>
      </c>
    </row>
    <row r="87" spans="2:8">
      <c r="B87" s="33" t="s">
        <v>130</v>
      </c>
      <c r="C87" s="34"/>
      <c r="D87" s="35"/>
      <c r="E87" s="34"/>
      <c r="F87" s="35"/>
      <c r="G87" s="34"/>
      <c r="H87" s="36"/>
    </row>
    <row r="88" spans="2:8">
      <c r="B88" s="39" t="s">
        <v>131</v>
      </c>
      <c r="C88" s="37" t="s">
        <v>131</v>
      </c>
      <c r="D88" s="16">
        <v>238</v>
      </c>
      <c r="E88" s="37" t="s">
        <v>15</v>
      </c>
      <c r="F88" s="16"/>
      <c r="G88" s="37"/>
      <c r="H88" s="38" t="s">
        <v>128</v>
      </c>
    </row>
    <row r="89" spans="2:8">
      <c r="B89" s="39" t="s">
        <v>132</v>
      </c>
      <c r="C89" s="37" t="s">
        <v>132</v>
      </c>
      <c r="D89" s="16">
        <v>70</v>
      </c>
      <c r="E89" s="37" t="s">
        <v>18</v>
      </c>
      <c r="F89" s="16"/>
      <c r="G89" s="37"/>
      <c r="H89" s="38" t="s">
        <v>79</v>
      </c>
    </row>
    <row r="90" spans="2:8">
      <c r="B90" s="51" t="s">
        <v>77</v>
      </c>
      <c r="C90" s="37" t="s">
        <v>133</v>
      </c>
      <c r="D90" s="16">
        <v>231</v>
      </c>
      <c r="E90" s="37" t="s">
        <v>15</v>
      </c>
      <c r="F90" s="16"/>
      <c r="G90" s="37"/>
      <c r="H90" s="38" t="s">
        <v>79</v>
      </c>
    </row>
    <row r="91" spans="2:8">
      <c r="B91" s="52" t="s">
        <v>77</v>
      </c>
      <c r="C91" s="37" t="s">
        <v>134</v>
      </c>
      <c r="D91" s="16">
        <v>921.66</v>
      </c>
      <c r="E91" s="37" t="s">
        <v>15</v>
      </c>
      <c r="F91" s="16"/>
      <c r="G91" s="37"/>
      <c r="H91" s="38" t="s">
        <v>135</v>
      </c>
    </row>
    <row r="92" spans="2:8">
      <c r="B92" s="52" t="s">
        <v>77</v>
      </c>
      <c r="C92" s="37" t="s">
        <v>136</v>
      </c>
      <c r="D92" s="16">
        <v>131.97999999999999</v>
      </c>
      <c r="E92" s="37" t="s">
        <v>18</v>
      </c>
      <c r="F92" s="16">
        <f>2*D92</f>
        <v>263.95999999999998</v>
      </c>
      <c r="G92" s="37" t="s">
        <v>15</v>
      </c>
      <c r="H92" s="38" t="s">
        <v>128</v>
      </c>
    </row>
    <row r="93" spans="2:8">
      <c r="B93" s="52" t="s">
        <v>77</v>
      </c>
      <c r="C93" s="37" t="s">
        <v>137</v>
      </c>
      <c r="D93" s="16">
        <v>370</v>
      </c>
      <c r="E93" s="37" t="s">
        <v>15</v>
      </c>
      <c r="F93" s="16"/>
      <c r="G93" s="37"/>
      <c r="H93" s="38" t="s">
        <v>79</v>
      </c>
    </row>
    <row r="94" spans="2:8">
      <c r="B94" s="52" t="s">
        <v>77</v>
      </c>
      <c r="C94" s="37" t="s">
        <v>138</v>
      </c>
      <c r="D94" s="16">
        <v>131.91</v>
      </c>
      <c r="E94" s="37" t="s">
        <v>18</v>
      </c>
      <c r="F94" s="16">
        <f>2*D94</f>
        <v>263.82</v>
      </c>
      <c r="G94" s="37" t="s">
        <v>15</v>
      </c>
      <c r="H94" s="38" t="s">
        <v>128</v>
      </c>
    </row>
    <row r="95" spans="2:8">
      <c r="B95" s="39" t="s">
        <v>139</v>
      </c>
      <c r="C95" s="37" t="s">
        <v>140</v>
      </c>
      <c r="D95" s="16">
        <v>295</v>
      </c>
      <c r="E95" s="37" t="s">
        <v>18</v>
      </c>
      <c r="F95" s="16"/>
      <c r="G95" s="37"/>
      <c r="H95" s="38" t="s">
        <v>128</v>
      </c>
    </row>
    <row r="96" spans="2:8">
      <c r="B96" s="39" t="s">
        <v>141</v>
      </c>
      <c r="C96" s="37" t="s">
        <v>142</v>
      </c>
      <c r="D96" s="16">
        <v>111.88</v>
      </c>
      <c r="E96" s="37" t="s">
        <v>18</v>
      </c>
      <c r="F96" s="16"/>
      <c r="G96" s="37"/>
      <c r="H96" s="38" t="s">
        <v>128</v>
      </c>
    </row>
    <row r="97" spans="2:8">
      <c r="B97" s="39" t="s">
        <v>143</v>
      </c>
      <c r="C97" s="37" t="s">
        <v>143</v>
      </c>
      <c r="D97" s="16">
        <v>541</v>
      </c>
      <c r="E97" s="37" t="s">
        <v>15</v>
      </c>
      <c r="F97" s="16"/>
      <c r="G97" s="37"/>
      <c r="H97" s="38" t="s">
        <v>144</v>
      </c>
    </row>
    <row r="98" spans="2:8">
      <c r="B98" s="39" t="s">
        <v>145</v>
      </c>
      <c r="C98" s="37" t="s">
        <v>146</v>
      </c>
      <c r="D98" s="16">
        <v>1</v>
      </c>
      <c r="E98" s="37" t="s">
        <v>9</v>
      </c>
      <c r="F98" s="16"/>
      <c r="G98" s="37"/>
      <c r="H98" s="38" t="s">
        <v>128</v>
      </c>
    </row>
    <row r="99" spans="2:8">
      <c r="B99" s="39" t="s">
        <v>147</v>
      </c>
      <c r="C99" s="37" t="s">
        <v>147</v>
      </c>
      <c r="D99" s="16">
        <v>612</v>
      </c>
      <c r="E99" s="37" t="s">
        <v>15</v>
      </c>
      <c r="F99" s="16"/>
      <c r="G99" s="37"/>
      <c r="H99" s="38" t="s">
        <v>128</v>
      </c>
    </row>
    <row r="100" spans="2:8">
      <c r="B100" s="51" t="s">
        <v>148</v>
      </c>
      <c r="C100" s="37" t="s">
        <v>149</v>
      </c>
      <c r="D100" s="16">
        <v>149</v>
      </c>
      <c r="E100" s="37" t="s">
        <v>15</v>
      </c>
      <c r="F100" s="16"/>
      <c r="G100" s="37"/>
      <c r="H100" s="38" t="s">
        <v>128</v>
      </c>
    </row>
    <row r="101" spans="2:8">
      <c r="B101" s="52" t="s">
        <v>148</v>
      </c>
      <c r="C101" s="37" t="s">
        <v>150</v>
      </c>
      <c r="D101" s="16">
        <v>8846</v>
      </c>
      <c r="E101" s="37" t="s">
        <v>15</v>
      </c>
      <c r="F101" s="16"/>
      <c r="G101" s="37"/>
      <c r="H101" s="38" t="s">
        <v>128</v>
      </c>
    </row>
    <row r="102" spans="2:8">
      <c r="B102" s="33" t="s">
        <v>151</v>
      </c>
      <c r="C102" s="34"/>
      <c r="D102" s="35"/>
      <c r="E102" s="34"/>
      <c r="F102" s="35"/>
      <c r="G102" s="34"/>
      <c r="H102" s="36"/>
    </row>
    <row r="103" spans="2:8">
      <c r="B103" s="51" t="s">
        <v>152</v>
      </c>
      <c r="C103" s="37" t="s">
        <v>153</v>
      </c>
      <c r="D103" s="16">
        <v>2</v>
      </c>
      <c r="E103" s="37" t="s">
        <v>9</v>
      </c>
      <c r="F103" s="16"/>
      <c r="G103" s="37"/>
      <c r="H103" s="38" t="s">
        <v>154</v>
      </c>
    </row>
    <row r="104" spans="2:8">
      <c r="B104" s="52" t="s">
        <v>152</v>
      </c>
      <c r="C104" s="37" t="s">
        <v>155</v>
      </c>
      <c r="D104" s="16">
        <v>2</v>
      </c>
      <c r="E104" s="37" t="s">
        <v>9</v>
      </c>
      <c r="F104" s="16"/>
      <c r="G104" s="37"/>
      <c r="H104" s="38" t="s">
        <v>154</v>
      </c>
    </row>
    <row r="105" spans="2:8">
      <c r="B105" s="52" t="s">
        <v>152</v>
      </c>
      <c r="C105" s="37" t="s">
        <v>156</v>
      </c>
      <c r="D105" s="16">
        <v>1</v>
      </c>
      <c r="E105" s="37" t="s">
        <v>9</v>
      </c>
      <c r="F105" s="16"/>
      <c r="G105" s="37"/>
      <c r="H105" s="38" t="s">
        <v>154</v>
      </c>
    </row>
    <row r="106" spans="2:8">
      <c r="B106" s="52" t="s">
        <v>152</v>
      </c>
      <c r="C106" s="37" t="s">
        <v>157</v>
      </c>
      <c r="D106" s="16">
        <v>1</v>
      </c>
      <c r="E106" s="37" t="s">
        <v>9</v>
      </c>
      <c r="F106" s="16"/>
      <c r="G106" s="37"/>
      <c r="H106" s="38" t="s">
        <v>154</v>
      </c>
    </row>
    <row r="107" spans="2:8">
      <c r="B107" s="52" t="s">
        <v>152</v>
      </c>
      <c r="C107" s="37" t="s">
        <v>158</v>
      </c>
      <c r="D107" s="16">
        <v>2</v>
      </c>
      <c r="E107" s="37" t="s">
        <v>9</v>
      </c>
      <c r="F107" s="16"/>
      <c r="G107" s="37"/>
      <c r="H107" s="38" t="s">
        <v>154</v>
      </c>
    </row>
    <row r="108" spans="2:8">
      <c r="B108" s="52" t="s">
        <v>152</v>
      </c>
      <c r="C108" s="37" t="s">
        <v>159</v>
      </c>
      <c r="D108" s="16">
        <v>1</v>
      </c>
      <c r="E108" s="37" t="s">
        <v>9</v>
      </c>
      <c r="F108" s="16"/>
      <c r="G108" s="37"/>
      <c r="H108" s="38" t="s">
        <v>154</v>
      </c>
    </row>
    <row r="109" spans="2:8">
      <c r="B109" s="52" t="s">
        <v>152</v>
      </c>
      <c r="C109" s="37" t="s">
        <v>160</v>
      </c>
      <c r="D109" s="16">
        <v>1</v>
      </c>
      <c r="E109" s="37" t="s">
        <v>9</v>
      </c>
      <c r="F109" s="16"/>
      <c r="G109" s="37"/>
      <c r="H109" s="38" t="s">
        <v>154</v>
      </c>
    </row>
    <row r="110" spans="2:8">
      <c r="B110" s="52" t="s">
        <v>152</v>
      </c>
      <c r="C110" s="37" t="s">
        <v>161</v>
      </c>
      <c r="D110" s="16">
        <v>2</v>
      </c>
      <c r="E110" s="37" t="s">
        <v>9</v>
      </c>
      <c r="F110" s="16"/>
      <c r="G110" s="37"/>
      <c r="H110" s="38" t="s">
        <v>154</v>
      </c>
    </row>
    <row r="111" spans="2:8">
      <c r="B111" s="52" t="s">
        <v>152</v>
      </c>
      <c r="C111" s="37" t="s">
        <v>162</v>
      </c>
      <c r="D111" s="16">
        <v>4</v>
      </c>
      <c r="E111" s="37" t="s">
        <v>9</v>
      </c>
      <c r="F111" s="16"/>
      <c r="G111" s="37"/>
      <c r="H111" s="38" t="s">
        <v>154</v>
      </c>
    </row>
    <row r="112" spans="2:8">
      <c r="B112" s="51" t="s">
        <v>163</v>
      </c>
      <c r="C112" s="37" t="s">
        <v>164</v>
      </c>
      <c r="D112" s="16">
        <v>2</v>
      </c>
      <c r="E112" s="37" t="s">
        <v>9</v>
      </c>
      <c r="F112" s="16">
        <f>91*D112</f>
        <v>182</v>
      </c>
      <c r="G112" s="37" t="s">
        <v>15</v>
      </c>
      <c r="H112" s="38" t="s">
        <v>68</v>
      </c>
    </row>
    <row r="113" spans="2:8">
      <c r="B113" s="52" t="s">
        <v>163</v>
      </c>
      <c r="C113" s="37" t="s">
        <v>165</v>
      </c>
      <c r="D113" s="16">
        <v>2</v>
      </c>
      <c r="E113" s="37" t="s">
        <v>9</v>
      </c>
      <c r="F113" s="16">
        <f>6.33*10*D113</f>
        <v>126.6</v>
      </c>
      <c r="G113" s="37" t="s">
        <v>15</v>
      </c>
      <c r="H113" s="38" t="s">
        <v>68</v>
      </c>
    </row>
    <row r="114" spans="2:8">
      <c r="B114" s="52" t="s">
        <v>163</v>
      </c>
      <c r="C114" s="37" t="s">
        <v>166</v>
      </c>
      <c r="D114" s="16">
        <v>1</v>
      </c>
      <c r="E114" s="37" t="s">
        <v>9</v>
      </c>
      <c r="F114" s="16">
        <f>5.33*8.33*D114</f>
        <v>44.398899999999998</v>
      </c>
      <c r="G114" s="37" t="s">
        <v>15</v>
      </c>
      <c r="H114" s="38" t="s">
        <v>68</v>
      </c>
    </row>
    <row r="115" spans="2:8">
      <c r="B115" s="51" t="s">
        <v>167</v>
      </c>
      <c r="C115" s="37" t="s">
        <v>168</v>
      </c>
      <c r="D115" s="16">
        <v>1</v>
      </c>
      <c r="E115" s="37" t="s">
        <v>9</v>
      </c>
      <c r="F115" s="16">
        <f>29*5.33*D115</f>
        <v>154.57</v>
      </c>
      <c r="G115" s="37" t="s">
        <v>15</v>
      </c>
      <c r="H115" s="38" t="s">
        <v>68</v>
      </c>
    </row>
    <row r="116" spans="2:8">
      <c r="B116" s="52" t="s">
        <v>167</v>
      </c>
      <c r="C116" s="37" t="s">
        <v>169</v>
      </c>
      <c r="D116" s="16">
        <v>2</v>
      </c>
      <c r="E116" s="37" t="s">
        <v>9</v>
      </c>
      <c r="F116" s="16">
        <f>9.833*6*D116</f>
        <v>117.99600000000001</v>
      </c>
      <c r="G116" s="37" t="s">
        <v>15</v>
      </c>
      <c r="H116" s="38" t="s">
        <v>68</v>
      </c>
    </row>
    <row r="117" spans="2:8">
      <c r="B117" s="33" t="s">
        <v>170</v>
      </c>
      <c r="C117" s="34"/>
      <c r="D117" s="35"/>
      <c r="E117" s="34"/>
      <c r="F117" s="35"/>
      <c r="G117" s="34"/>
      <c r="H117" s="36"/>
    </row>
    <row r="118" spans="2:8">
      <c r="B118" s="51" t="s">
        <v>171</v>
      </c>
      <c r="C118" s="37" t="s">
        <v>172</v>
      </c>
      <c r="D118" s="16">
        <v>5278</v>
      </c>
      <c r="E118" s="37" t="s">
        <v>15</v>
      </c>
      <c r="F118" s="16"/>
      <c r="G118" s="37"/>
      <c r="H118" s="38" t="s">
        <v>144</v>
      </c>
    </row>
    <row r="119" spans="2:8">
      <c r="B119" s="52" t="s">
        <v>171</v>
      </c>
      <c r="C119" s="37" t="s">
        <v>173</v>
      </c>
      <c r="D119" s="16">
        <v>848</v>
      </c>
      <c r="E119" s="37" t="s">
        <v>15</v>
      </c>
      <c r="F119" s="16"/>
      <c r="G119" s="37"/>
      <c r="H119" s="38" t="s">
        <v>144</v>
      </c>
    </row>
    <row r="120" spans="2:8">
      <c r="B120" s="52" t="s">
        <v>171</v>
      </c>
      <c r="C120" s="37" t="s">
        <v>174</v>
      </c>
      <c r="D120" s="16">
        <v>1545</v>
      </c>
      <c r="E120" s="37" t="s">
        <v>15</v>
      </c>
      <c r="F120" s="16"/>
      <c r="G120" s="37"/>
      <c r="H120" s="38" t="s">
        <v>144</v>
      </c>
    </row>
    <row r="121" spans="2:8">
      <c r="B121" s="52" t="s">
        <v>171</v>
      </c>
      <c r="C121" s="37" t="s">
        <v>175</v>
      </c>
      <c r="D121" s="16">
        <v>220</v>
      </c>
      <c r="E121" s="37" t="s">
        <v>15</v>
      </c>
      <c r="F121" s="16"/>
      <c r="G121" s="37"/>
      <c r="H121" s="38" t="s">
        <v>144</v>
      </c>
    </row>
    <row r="122" spans="2:8">
      <c r="B122" s="52" t="s">
        <v>171</v>
      </c>
      <c r="C122" s="37" t="s">
        <v>176</v>
      </c>
      <c r="D122" s="16">
        <v>482</v>
      </c>
      <c r="E122" s="37" t="s">
        <v>15</v>
      </c>
      <c r="F122" s="16"/>
      <c r="G122" s="37"/>
      <c r="H122" s="38" t="s">
        <v>144</v>
      </c>
    </row>
    <row r="123" spans="2:8">
      <c r="B123" s="52" t="s">
        <v>171</v>
      </c>
      <c r="C123" s="37" t="s">
        <v>177</v>
      </c>
      <c r="D123" s="16">
        <v>146</v>
      </c>
      <c r="E123" s="37" t="s">
        <v>15</v>
      </c>
      <c r="F123" s="16"/>
      <c r="G123" s="37"/>
      <c r="H123" s="38" t="s">
        <v>144</v>
      </c>
    </row>
    <row r="124" spans="2:8">
      <c r="B124" s="51" t="s">
        <v>77</v>
      </c>
      <c r="C124" s="37" t="s">
        <v>178</v>
      </c>
      <c r="D124" s="16">
        <v>17965.13</v>
      </c>
      <c r="E124" s="37" t="s">
        <v>15</v>
      </c>
      <c r="F124" s="16"/>
      <c r="G124" s="37"/>
      <c r="H124" s="38" t="s">
        <v>135</v>
      </c>
    </row>
    <row r="125" spans="2:8">
      <c r="B125" s="52" t="s">
        <v>77</v>
      </c>
      <c r="C125" s="37" t="s">
        <v>179</v>
      </c>
      <c r="D125" s="16">
        <v>1074</v>
      </c>
      <c r="E125" s="37" t="s">
        <v>15</v>
      </c>
      <c r="F125" s="16"/>
      <c r="G125" s="37"/>
      <c r="H125" s="38" t="s">
        <v>81</v>
      </c>
    </row>
    <row r="126" spans="2:8">
      <c r="B126" s="52" t="s">
        <v>77</v>
      </c>
      <c r="C126" s="37" t="s">
        <v>180</v>
      </c>
      <c r="D126" s="16">
        <v>8.98</v>
      </c>
      <c r="E126" s="37" t="s">
        <v>18</v>
      </c>
      <c r="F126" s="16">
        <f>18*D126</f>
        <v>161.64000000000001</v>
      </c>
      <c r="G126" s="37" t="s">
        <v>15</v>
      </c>
      <c r="H126" s="38" t="s">
        <v>68</v>
      </c>
    </row>
    <row r="127" spans="2:8">
      <c r="B127" s="51" t="s">
        <v>181</v>
      </c>
      <c r="C127" s="37" t="s">
        <v>182</v>
      </c>
      <c r="D127" s="16">
        <v>60</v>
      </c>
      <c r="E127" s="37" t="s">
        <v>15</v>
      </c>
      <c r="F127" s="16"/>
      <c r="G127" s="37"/>
      <c r="H127" s="38" t="s">
        <v>183</v>
      </c>
    </row>
    <row r="128" spans="2:8">
      <c r="B128" s="52" t="s">
        <v>181</v>
      </c>
      <c r="C128" s="37" t="s">
        <v>184</v>
      </c>
      <c r="D128" s="16">
        <v>123</v>
      </c>
      <c r="E128" s="37" t="s">
        <v>15</v>
      </c>
      <c r="F128" s="16"/>
      <c r="G128" s="37"/>
      <c r="H128" s="38" t="s">
        <v>185</v>
      </c>
    </row>
    <row r="129" spans="2:8">
      <c r="B129" s="52" t="s">
        <v>181</v>
      </c>
      <c r="C129" s="37" t="s">
        <v>186</v>
      </c>
      <c r="D129" s="16">
        <v>484</v>
      </c>
      <c r="E129" s="37" t="s">
        <v>15</v>
      </c>
      <c r="F129" s="16"/>
      <c r="G129" s="37"/>
      <c r="H129" s="38" t="s">
        <v>185</v>
      </c>
    </row>
    <row r="130" spans="2:8">
      <c r="B130" s="52" t="s">
        <v>181</v>
      </c>
      <c r="C130" s="37" t="s">
        <v>187</v>
      </c>
      <c r="D130" s="16">
        <v>4431</v>
      </c>
      <c r="E130" s="37" t="s">
        <v>15</v>
      </c>
      <c r="F130" s="16"/>
      <c r="G130" s="37"/>
      <c r="H130" s="38" t="s">
        <v>185</v>
      </c>
    </row>
    <row r="131" spans="2:8">
      <c r="B131" s="52" t="s">
        <v>181</v>
      </c>
      <c r="C131" s="37" t="s">
        <v>188</v>
      </c>
      <c r="D131" s="16">
        <v>2569</v>
      </c>
      <c r="E131" s="37" t="s">
        <v>15</v>
      </c>
      <c r="F131" s="16"/>
      <c r="G131" s="37"/>
      <c r="H131" s="38" t="s">
        <v>185</v>
      </c>
    </row>
    <row r="132" spans="2:8">
      <c r="B132" s="51" t="s">
        <v>189</v>
      </c>
      <c r="C132" s="37" t="s">
        <v>190</v>
      </c>
      <c r="D132" s="16">
        <v>70.25</v>
      </c>
      <c r="E132" s="37" t="s">
        <v>18</v>
      </c>
      <c r="F132" s="16">
        <f>13.667*D132</f>
        <v>960.10675000000003</v>
      </c>
      <c r="G132" s="37" t="s">
        <v>15</v>
      </c>
      <c r="H132" s="38" t="s">
        <v>191</v>
      </c>
    </row>
    <row r="133" spans="2:8">
      <c r="B133" s="52" t="s">
        <v>189</v>
      </c>
      <c r="C133" s="37" t="s">
        <v>192</v>
      </c>
      <c r="D133" s="16">
        <v>89.15</v>
      </c>
      <c r="E133" s="37" t="s">
        <v>18</v>
      </c>
      <c r="F133" s="16">
        <f>14*D133</f>
        <v>1248.1000000000001</v>
      </c>
      <c r="G133" s="37" t="s">
        <v>15</v>
      </c>
      <c r="H133" s="38" t="s">
        <v>191</v>
      </c>
    </row>
    <row r="134" spans="2:8">
      <c r="B134" s="52" t="s">
        <v>189</v>
      </c>
      <c r="C134" s="37" t="s">
        <v>193</v>
      </c>
      <c r="D134" s="16">
        <v>35.869999999999997</v>
      </c>
      <c r="E134" s="37" t="s">
        <v>18</v>
      </c>
      <c r="F134" s="16">
        <f>14.667*D134</f>
        <v>526.10528999999997</v>
      </c>
      <c r="G134" s="37" t="s">
        <v>15</v>
      </c>
      <c r="H134" s="38" t="s">
        <v>191</v>
      </c>
    </row>
    <row r="135" spans="2:8">
      <c r="B135" s="52" t="s">
        <v>189</v>
      </c>
      <c r="C135" s="37" t="s">
        <v>194</v>
      </c>
      <c r="D135" s="16">
        <v>53.8</v>
      </c>
      <c r="E135" s="37" t="s">
        <v>18</v>
      </c>
      <c r="F135" s="16">
        <f t="shared" ref="F135:F138" si="0">15*D135</f>
        <v>807</v>
      </c>
      <c r="G135" s="37" t="s">
        <v>15</v>
      </c>
      <c r="H135" s="38" t="s">
        <v>191</v>
      </c>
    </row>
    <row r="136" spans="2:8">
      <c r="B136" s="52" t="s">
        <v>189</v>
      </c>
      <c r="C136" s="37" t="s">
        <v>195</v>
      </c>
      <c r="D136" s="16">
        <v>16.16</v>
      </c>
      <c r="E136" s="37" t="s">
        <v>18</v>
      </c>
      <c r="F136" s="16">
        <f t="shared" si="0"/>
        <v>242.4</v>
      </c>
      <c r="G136" s="37" t="s">
        <v>15</v>
      </c>
      <c r="H136" s="38" t="s">
        <v>191</v>
      </c>
    </row>
    <row r="137" spans="2:8">
      <c r="B137" s="52" t="s">
        <v>189</v>
      </c>
      <c r="C137" s="37" t="s">
        <v>196</v>
      </c>
      <c r="D137" s="16">
        <v>27.67</v>
      </c>
      <c r="E137" s="37" t="s">
        <v>18</v>
      </c>
      <c r="F137" s="16">
        <f t="shared" si="0"/>
        <v>415.05</v>
      </c>
      <c r="G137" s="37" t="s">
        <v>15</v>
      </c>
      <c r="H137" s="38" t="s">
        <v>191</v>
      </c>
    </row>
    <row r="138" spans="2:8">
      <c r="B138" s="52" t="s">
        <v>189</v>
      </c>
      <c r="C138" s="37" t="s">
        <v>197</v>
      </c>
      <c r="D138" s="16">
        <v>18.98</v>
      </c>
      <c r="E138" s="37" t="s">
        <v>18</v>
      </c>
      <c r="F138" s="16">
        <f t="shared" si="0"/>
        <v>284.7</v>
      </c>
      <c r="G138" s="37" t="s">
        <v>15</v>
      </c>
      <c r="H138" s="38" t="s">
        <v>191</v>
      </c>
    </row>
    <row r="139" spans="2:8">
      <c r="B139" s="52" t="s">
        <v>189</v>
      </c>
      <c r="C139" s="37" t="s">
        <v>198</v>
      </c>
      <c r="D139" s="16">
        <v>16.11</v>
      </c>
      <c r="E139" s="37" t="s">
        <v>18</v>
      </c>
      <c r="F139" s="16">
        <f>7.667*D139</f>
        <v>123.51536999999999</v>
      </c>
      <c r="G139" s="37" t="s">
        <v>15</v>
      </c>
      <c r="H139" s="38" t="s">
        <v>191</v>
      </c>
    </row>
    <row r="140" spans="2:8">
      <c r="B140" s="52" t="s">
        <v>189</v>
      </c>
      <c r="C140" s="37" t="s">
        <v>199</v>
      </c>
      <c r="D140" s="16">
        <v>7.48</v>
      </c>
      <c r="E140" s="37" t="s">
        <v>18</v>
      </c>
      <c r="F140" s="16">
        <f t="shared" ref="F140:F145" si="1">15*D140</f>
        <v>112.2</v>
      </c>
      <c r="G140" s="37" t="s">
        <v>15</v>
      </c>
      <c r="H140" s="38" t="s">
        <v>191</v>
      </c>
    </row>
    <row r="141" spans="2:8">
      <c r="B141" s="52" t="s">
        <v>189</v>
      </c>
      <c r="C141" s="37" t="s">
        <v>200</v>
      </c>
      <c r="D141" s="16">
        <v>7.98</v>
      </c>
      <c r="E141" s="37" t="s">
        <v>18</v>
      </c>
      <c r="F141" s="16">
        <f t="shared" si="1"/>
        <v>119.7</v>
      </c>
      <c r="G141" s="37" t="s">
        <v>15</v>
      </c>
      <c r="H141" s="38" t="s">
        <v>191</v>
      </c>
    </row>
    <row r="142" spans="2:8">
      <c r="B142" s="52" t="s">
        <v>189</v>
      </c>
      <c r="C142" s="37" t="s">
        <v>201</v>
      </c>
      <c r="D142" s="16">
        <v>34.270000000000003</v>
      </c>
      <c r="E142" s="37" t="s">
        <v>18</v>
      </c>
      <c r="F142" s="16">
        <f t="shared" si="1"/>
        <v>514.05000000000007</v>
      </c>
      <c r="G142" s="37" t="s">
        <v>15</v>
      </c>
      <c r="H142" s="38" t="s">
        <v>191</v>
      </c>
    </row>
    <row r="143" spans="2:8">
      <c r="B143" s="52" t="s">
        <v>189</v>
      </c>
      <c r="C143" s="37" t="s">
        <v>202</v>
      </c>
      <c r="D143" s="16">
        <v>25.23</v>
      </c>
      <c r="E143" s="37" t="s">
        <v>18</v>
      </c>
      <c r="F143" s="16">
        <f t="shared" si="1"/>
        <v>378.45</v>
      </c>
      <c r="G143" s="37" t="s">
        <v>15</v>
      </c>
      <c r="H143" s="38" t="s">
        <v>191</v>
      </c>
    </row>
    <row r="144" spans="2:8">
      <c r="B144" s="52" t="s">
        <v>189</v>
      </c>
      <c r="C144" s="37" t="s">
        <v>203</v>
      </c>
      <c r="D144" s="16">
        <v>28.01</v>
      </c>
      <c r="E144" s="37" t="s">
        <v>18</v>
      </c>
      <c r="F144" s="16">
        <f>11.417*D144</f>
        <v>319.79016999999999</v>
      </c>
      <c r="G144" s="37" t="s">
        <v>15</v>
      </c>
      <c r="H144" s="38" t="s">
        <v>191</v>
      </c>
    </row>
    <row r="145" spans="2:8">
      <c r="B145" s="52" t="s">
        <v>189</v>
      </c>
      <c r="C145" s="37" t="s">
        <v>204</v>
      </c>
      <c r="D145" s="16">
        <v>17.3</v>
      </c>
      <c r="E145" s="37" t="s">
        <v>18</v>
      </c>
      <c r="F145" s="16">
        <f t="shared" si="1"/>
        <v>259.5</v>
      </c>
      <c r="G145" s="37" t="s">
        <v>15</v>
      </c>
      <c r="H145" s="38" t="s">
        <v>191</v>
      </c>
    </row>
    <row r="146" spans="2:8">
      <c r="B146" s="52" t="s">
        <v>189</v>
      </c>
      <c r="C146" s="37" t="s">
        <v>205</v>
      </c>
      <c r="D146" s="16">
        <v>3.42</v>
      </c>
      <c r="E146" s="37" t="s">
        <v>18</v>
      </c>
      <c r="F146" s="16">
        <f>11.417*D146</f>
        <v>39.046140000000001</v>
      </c>
      <c r="G146" s="37" t="s">
        <v>15</v>
      </c>
      <c r="H146" s="38" t="s">
        <v>191</v>
      </c>
    </row>
    <row r="147" spans="2:8">
      <c r="B147" s="52" t="s">
        <v>189</v>
      </c>
      <c r="C147" s="37" t="s">
        <v>206</v>
      </c>
      <c r="D147" s="16">
        <v>15</v>
      </c>
      <c r="E147" s="37" t="s">
        <v>18</v>
      </c>
      <c r="F147" s="16">
        <f t="shared" ref="F147:F150" si="2">15*D147</f>
        <v>225</v>
      </c>
      <c r="G147" s="37" t="s">
        <v>15</v>
      </c>
      <c r="H147" s="38" t="s">
        <v>191</v>
      </c>
    </row>
    <row r="148" spans="2:8">
      <c r="B148" s="52" t="s">
        <v>189</v>
      </c>
      <c r="C148" s="37" t="s">
        <v>207</v>
      </c>
      <c r="D148" s="16">
        <v>7.9</v>
      </c>
      <c r="E148" s="37" t="s">
        <v>18</v>
      </c>
      <c r="F148" s="16">
        <f>16.167*D148</f>
        <v>127.71930000000002</v>
      </c>
      <c r="G148" s="37" t="s">
        <v>15</v>
      </c>
      <c r="H148" s="38" t="s">
        <v>191</v>
      </c>
    </row>
    <row r="149" spans="2:8">
      <c r="B149" s="52" t="s">
        <v>189</v>
      </c>
      <c r="C149" s="37" t="s">
        <v>208</v>
      </c>
      <c r="D149" s="16">
        <v>10.15</v>
      </c>
      <c r="E149" s="37" t="s">
        <v>18</v>
      </c>
      <c r="F149" s="16">
        <f t="shared" si="2"/>
        <v>152.25</v>
      </c>
      <c r="G149" s="37" t="s">
        <v>15</v>
      </c>
      <c r="H149" s="38" t="s">
        <v>191</v>
      </c>
    </row>
    <row r="150" spans="2:8">
      <c r="B150" s="52" t="s">
        <v>189</v>
      </c>
      <c r="C150" s="37" t="s">
        <v>209</v>
      </c>
      <c r="D150" s="16">
        <v>11.9</v>
      </c>
      <c r="E150" s="37" t="s">
        <v>18</v>
      </c>
      <c r="F150" s="16">
        <f t="shared" si="2"/>
        <v>178.5</v>
      </c>
      <c r="G150" s="37" t="s">
        <v>15</v>
      </c>
      <c r="H150" s="38" t="s">
        <v>191</v>
      </c>
    </row>
    <row r="151" spans="2:8">
      <c r="B151" s="52" t="s">
        <v>189</v>
      </c>
      <c r="C151" s="37" t="s">
        <v>210</v>
      </c>
      <c r="D151" s="16">
        <v>70.11</v>
      </c>
      <c r="E151" s="37" t="s">
        <v>18</v>
      </c>
      <c r="F151" s="16">
        <f>10*D151</f>
        <v>701.1</v>
      </c>
      <c r="G151" s="37" t="s">
        <v>15</v>
      </c>
      <c r="H151" s="38" t="s">
        <v>191</v>
      </c>
    </row>
    <row r="152" spans="2:8">
      <c r="B152" s="52" t="s">
        <v>189</v>
      </c>
      <c r="C152" s="37" t="s">
        <v>211</v>
      </c>
      <c r="D152" s="16">
        <v>65.400000000000006</v>
      </c>
      <c r="E152" s="37" t="s">
        <v>18</v>
      </c>
      <c r="F152" s="16">
        <f>15*D152</f>
        <v>981.00000000000011</v>
      </c>
      <c r="G152" s="37" t="s">
        <v>15</v>
      </c>
      <c r="H152" s="38" t="s">
        <v>191</v>
      </c>
    </row>
    <row r="153" spans="2:8">
      <c r="B153" s="52" t="s">
        <v>189</v>
      </c>
      <c r="C153" s="37" t="s">
        <v>212</v>
      </c>
      <c r="D153" s="16">
        <v>79.819999999999993</v>
      </c>
      <c r="E153" s="37" t="s">
        <v>18</v>
      </c>
      <c r="F153" s="16">
        <f>10*D153</f>
        <v>798.19999999999993</v>
      </c>
      <c r="G153" s="37" t="s">
        <v>15</v>
      </c>
      <c r="H153" s="38" t="s">
        <v>191</v>
      </c>
    </row>
    <row r="154" spans="2:8">
      <c r="B154" s="52" t="s">
        <v>189</v>
      </c>
      <c r="C154" s="37" t="s">
        <v>213</v>
      </c>
      <c r="D154" s="16">
        <v>8.1300000000000008</v>
      </c>
      <c r="E154" s="37" t="s">
        <v>18</v>
      </c>
      <c r="F154" s="16">
        <f>15*D154</f>
        <v>121.95000000000002</v>
      </c>
      <c r="G154" s="37" t="s">
        <v>15</v>
      </c>
      <c r="H154" s="38" t="s">
        <v>191</v>
      </c>
    </row>
    <row r="155" spans="2:8">
      <c r="B155" s="52" t="s">
        <v>189</v>
      </c>
      <c r="C155" s="37" t="s">
        <v>214</v>
      </c>
      <c r="D155" s="16">
        <v>41.84</v>
      </c>
      <c r="E155" s="37" t="s">
        <v>18</v>
      </c>
      <c r="F155" s="16">
        <f t="shared" ref="F155:F163" si="3">15*D155</f>
        <v>627.6</v>
      </c>
      <c r="G155" s="37" t="s">
        <v>15</v>
      </c>
      <c r="H155" s="38" t="s">
        <v>191</v>
      </c>
    </row>
    <row r="156" spans="2:8">
      <c r="B156" s="52" t="s">
        <v>189</v>
      </c>
      <c r="C156" s="37" t="s">
        <v>215</v>
      </c>
      <c r="D156" s="16">
        <v>14.14</v>
      </c>
      <c r="E156" s="37" t="s">
        <v>18</v>
      </c>
      <c r="F156" s="16">
        <f t="shared" si="3"/>
        <v>212.10000000000002</v>
      </c>
      <c r="G156" s="37" t="s">
        <v>15</v>
      </c>
      <c r="H156" s="38" t="s">
        <v>191</v>
      </c>
    </row>
    <row r="157" spans="2:8">
      <c r="B157" s="52" t="s">
        <v>189</v>
      </c>
      <c r="C157" s="37" t="s">
        <v>216</v>
      </c>
      <c r="D157" s="16">
        <v>47.05</v>
      </c>
      <c r="E157" s="37" t="s">
        <v>18</v>
      </c>
      <c r="F157" s="16">
        <f t="shared" si="3"/>
        <v>705.75</v>
      </c>
      <c r="G157" s="37" t="s">
        <v>15</v>
      </c>
      <c r="H157" s="38" t="s">
        <v>191</v>
      </c>
    </row>
    <row r="158" spans="2:8">
      <c r="B158" s="52" t="s">
        <v>189</v>
      </c>
      <c r="C158" s="37" t="s">
        <v>217</v>
      </c>
      <c r="D158" s="16">
        <v>15.5</v>
      </c>
      <c r="E158" s="37" t="s">
        <v>18</v>
      </c>
      <c r="F158" s="16">
        <f t="shared" si="3"/>
        <v>232.5</v>
      </c>
      <c r="G158" s="37" t="s">
        <v>15</v>
      </c>
      <c r="H158" s="38" t="s">
        <v>191</v>
      </c>
    </row>
    <row r="159" spans="2:8">
      <c r="B159" s="52" t="s">
        <v>189</v>
      </c>
      <c r="C159" s="37" t="s">
        <v>218</v>
      </c>
      <c r="D159" s="16">
        <v>33.32</v>
      </c>
      <c r="E159" s="37" t="s">
        <v>18</v>
      </c>
      <c r="F159" s="16">
        <f t="shared" si="3"/>
        <v>499.8</v>
      </c>
      <c r="G159" s="37" t="s">
        <v>15</v>
      </c>
      <c r="H159" s="38" t="s">
        <v>191</v>
      </c>
    </row>
    <row r="160" spans="2:8">
      <c r="B160" s="52" t="s">
        <v>189</v>
      </c>
      <c r="C160" s="37" t="s">
        <v>219</v>
      </c>
      <c r="D160" s="16">
        <v>8.14</v>
      </c>
      <c r="E160" s="37" t="s">
        <v>18</v>
      </c>
      <c r="F160" s="16">
        <f t="shared" si="3"/>
        <v>122.10000000000001</v>
      </c>
      <c r="G160" s="37" t="s">
        <v>15</v>
      </c>
      <c r="H160" s="38" t="s">
        <v>191</v>
      </c>
    </row>
    <row r="161" spans="2:8">
      <c r="B161" s="52" t="s">
        <v>189</v>
      </c>
      <c r="C161" s="37" t="s">
        <v>220</v>
      </c>
      <c r="D161" s="16">
        <v>7.37</v>
      </c>
      <c r="E161" s="37" t="s">
        <v>18</v>
      </c>
      <c r="F161" s="16">
        <f t="shared" si="3"/>
        <v>110.55</v>
      </c>
      <c r="G161" s="37" t="s">
        <v>15</v>
      </c>
      <c r="H161" s="38" t="s">
        <v>191</v>
      </c>
    </row>
    <row r="162" spans="2:8">
      <c r="B162" s="52" t="s">
        <v>189</v>
      </c>
      <c r="C162" s="37" t="s">
        <v>221</v>
      </c>
      <c r="D162" s="16">
        <v>6.74</v>
      </c>
      <c r="E162" s="37" t="s">
        <v>18</v>
      </c>
      <c r="F162" s="16">
        <f t="shared" si="3"/>
        <v>101.10000000000001</v>
      </c>
      <c r="G162" s="37" t="s">
        <v>15</v>
      </c>
      <c r="H162" s="38" t="s">
        <v>191</v>
      </c>
    </row>
    <row r="163" spans="2:8">
      <c r="B163" s="52" t="s">
        <v>189</v>
      </c>
      <c r="C163" s="37" t="s">
        <v>222</v>
      </c>
      <c r="D163" s="16">
        <v>11.95</v>
      </c>
      <c r="E163" s="37" t="s">
        <v>18</v>
      </c>
      <c r="F163" s="16">
        <f t="shared" si="3"/>
        <v>179.25</v>
      </c>
      <c r="G163" s="37" t="s">
        <v>15</v>
      </c>
      <c r="H163" s="38" t="s">
        <v>191</v>
      </c>
    </row>
    <row r="164" spans="2:8">
      <c r="B164" s="39" t="s">
        <v>223</v>
      </c>
      <c r="C164" s="37" t="s">
        <v>224</v>
      </c>
      <c r="D164" s="16">
        <v>59</v>
      </c>
      <c r="E164" s="37" t="s">
        <v>15</v>
      </c>
      <c r="F164" s="16"/>
      <c r="G164" s="37"/>
      <c r="H164" s="38" t="s">
        <v>144</v>
      </c>
    </row>
    <row r="165" spans="2:8">
      <c r="B165" s="51" t="s">
        <v>225</v>
      </c>
      <c r="C165" s="37" t="s">
        <v>226</v>
      </c>
      <c r="D165" s="16">
        <v>41.56</v>
      </c>
      <c r="E165" s="37" t="s">
        <v>18</v>
      </c>
      <c r="F165" s="16"/>
      <c r="G165" s="37"/>
      <c r="H165" s="38" t="s">
        <v>68</v>
      </c>
    </row>
    <row r="166" spans="2:8">
      <c r="B166" s="52" t="s">
        <v>225</v>
      </c>
      <c r="C166" s="37" t="s">
        <v>227</v>
      </c>
      <c r="D166" s="16">
        <v>154.91</v>
      </c>
      <c r="E166" s="37" t="s">
        <v>18</v>
      </c>
      <c r="F166" s="16"/>
      <c r="G166" s="37"/>
      <c r="H166" s="38" t="s">
        <v>228</v>
      </c>
    </row>
    <row r="167" spans="2:8">
      <c r="B167" s="52" t="s">
        <v>225</v>
      </c>
      <c r="C167" s="37" t="s">
        <v>229</v>
      </c>
      <c r="D167" s="16">
        <v>720.4</v>
      </c>
      <c r="E167" s="37" t="s">
        <v>18</v>
      </c>
      <c r="F167" s="16"/>
      <c r="G167" s="37"/>
      <c r="H167" s="38" t="s">
        <v>68</v>
      </c>
    </row>
    <row r="168" spans="2:8">
      <c r="B168" s="51" t="s">
        <v>230</v>
      </c>
      <c r="C168" s="37" t="s">
        <v>231</v>
      </c>
      <c r="D168" s="16">
        <v>49.75</v>
      </c>
      <c r="E168" s="37" t="s">
        <v>18</v>
      </c>
      <c r="F168" s="16">
        <f>9.33*D168</f>
        <v>464.16750000000002</v>
      </c>
      <c r="G168" s="37" t="s">
        <v>15</v>
      </c>
      <c r="H168" s="38" t="s">
        <v>68</v>
      </c>
    </row>
    <row r="169" spans="2:8">
      <c r="B169" s="52" t="s">
        <v>230</v>
      </c>
      <c r="C169" s="37" t="s">
        <v>232</v>
      </c>
      <c r="D169" s="16">
        <v>27.26</v>
      </c>
      <c r="E169" s="37" t="s">
        <v>18</v>
      </c>
      <c r="F169" s="16">
        <f>10*D169</f>
        <v>272.60000000000002</v>
      </c>
      <c r="G169" s="37" t="s">
        <v>15</v>
      </c>
      <c r="H169" s="38" t="s">
        <v>68</v>
      </c>
    </row>
    <row r="170" spans="2:8">
      <c r="B170" s="52" t="s">
        <v>230</v>
      </c>
      <c r="C170" s="37" t="s">
        <v>233</v>
      </c>
      <c r="D170" s="16">
        <v>24.26</v>
      </c>
      <c r="E170" s="37" t="s">
        <v>18</v>
      </c>
      <c r="F170" s="16">
        <f>5*D170</f>
        <v>121.30000000000001</v>
      </c>
      <c r="G170" s="37" t="s">
        <v>15</v>
      </c>
      <c r="H170" s="38" t="s">
        <v>68</v>
      </c>
    </row>
    <row r="171" spans="2:8">
      <c r="B171" s="52" t="s">
        <v>230</v>
      </c>
      <c r="C171" s="37" t="s">
        <v>234</v>
      </c>
      <c r="D171" s="16">
        <v>3.71</v>
      </c>
      <c r="E171" s="37" t="s">
        <v>18</v>
      </c>
      <c r="F171" s="16">
        <f>7.5*D171</f>
        <v>27.824999999999999</v>
      </c>
      <c r="G171" s="37" t="s">
        <v>15</v>
      </c>
      <c r="H171" s="38" t="s">
        <v>68</v>
      </c>
    </row>
    <row r="172" spans="2:8">
      <c r="B172" s="52" t="s">
        <v>230</v>
      </c>
      <c r="C172" s="37" t="s">
        <v>235</v>
      </c>
      <c r="D172" s="16">
        <v>125.17</v>
      </c>
      <c r="E172" s="37" t="s">
        <v>18</v>
      </c>
      <c r="F172" s="16">
        <f>8*D172</f>
        <v>1001.36</v>
      </c>
      <c r="G172" s="37" t="s">
        <v>15</v>
      </c>
      <c r="H172" s="38" t="s">
        <v>68</v>
      </c>
    </row>
    <row r="173" spans="2:8">
      <c r="B173" s="52" t="s">
        <v>230</v>
      </c>
      <c r="C173" s="37" t="s">
        <v>236</v>
      </c>
      <c r="D173" s="16">
        <v>592</v>
      </c>
      <c r="E173" s="37" t="s">
        <v>15</v>
      </c>
      <c r="F173" s="16"/>
      <c r="G173" s="37"/>
      <c r="H173" s="38" t="s">
        <v>237</v>
      </c>
    </row>
    <row r="174" spans="2:8">
      <c r="B174" s="52" t="s">
        <v>230</v>
      </c>
      <c r="C174" s="37" t="s">
        <v>238</v>
      </c>
      <c r="D174" s="16">
        <v>57.8</v>
      </c>
      <c r="E174" s="37" t="s">
        <v>18</v>
      </c>
      <c r="F174" s="16">
        <f>3.833*D174</f>
        <v>221.54740000000001</v>
      </c>
      <c r="G174" s="37" t="s">
        <v>15</v>
      </c>
      <c r="H174" s="38" t="s">
        <v>68</v>
      </c>
    </row>
    <row r="175" spans="2:8">
      <c r="B175" s="52" t="s">
        <v>230</v>
      </c>
      <c r="C175" s="37" t="s">
        <v>239</v>
      </c>
      <c r="D175" s="16">
        <v>227</v>
      </c>
      <c r="E175" s="37" t="s">
        <v>15</v>
      </c>
      <c r="F175" s="16"/>
      <c r="G175" s="37"/>
      <c r="H175" s="38" t="s">
        <v>237</v>
      </c>
    </row>
    <row r="176" spans="2:8">
      <c r="B176" s="52" t="s">
        <v>230</v>
      </c>
      <c r="C176" s="37" t="s">
        <v>240</v>
      </c>
      <c r="D176" s="16">
        <v>75</v>
      </c>
      <c r="E176" s="37" t="s">
        <v>15</v>
      </c>
      <c r="F176" s="16"/>
      <c r="G176" s="37"/>
      <c r="H176" s="38" t="s">
        <v>237</v>
      </c>
    </row>
    <row r="177" spans="2:8">
      <c r="B177" s="52" t="s">
        <v>230</v>
      </c>
      <c r="C177" s="37" t="s">
        <v>241</v>
      </c>
      <c r="D177" s="16">
        <v>57.38</v>
      </c>
      <c r="E177" s="37" t="s">
        <v>18</v>
      </c>
      <c r="F177" s="16">
        <f>0.5*D177</f>
        <v>28.69</v>
      </c>
      <c r="G177" s="37" t="s">
        <v>15</v>
      </c>
      <c r="H177" s="38" t="s">
        <v>68</v>
      </c>
    </row>
    <row r="178" spans="2:8">
      <c r="B178" s="52" t="s">
        <v>230</v>
      </c>
      <c r="C178" s="37" t="s">
        <v>242</v>
      </c>
      <c r="D178" s="16">
        <v>77.349999999999994</v>
      </c>
      <c r="E178" s="37" t="s">
        <v>18</v>
      </c>
      <c r="F178" s="16">
        <f>10*D178</f>
        <v>773.5</v>
      </c>
      <c r="G178" s="37" t="s">
        <v>15</v>
      </c>
      <c r="H178" s="38" t="s">
        <v>68</v>
      </c>
    </row>
    <row r="179" spans="2:8">
      <c r="B179" s="52" t="s">
        <v>230</v>
      </c>
      <c r="C179" s="37" t="s">
        <v>243</v>
      </c>
      <c r="D179" s="16">
        <v>238.58</v>
      </c>
      <c r="E179" s="37" t="s">
        <v>18</v>
      </c>
      <c r="F179" s="16">
        <f>10.5*D179</f>
        <v>2505.09</v>
      </c>
      <c r="G179" s="37" t="s">
        <v>15</v>
      </c>
      <c r="H179" s="38" t="s">
        <v>68</v>
      </c>
    </row>
    <row r="180" spans="2:8">
      <c r="B180" s="52" t="s">
        <v>230</v>
      </c>
      <c r="C180" s="37" t="s">
        <v>244</v>
      </c>
      <c r="D180" s="16">
        <v>19.079999999999998</v>
      </c>
      <c r="E180" s="37" t="s">
        <v>18</v>
      </c>
      <c r="F180" s="16">
        <f>11*D180</f>
        <v>209.88</v>
      </c>
      <c r="G180" s="37" t="s">
        <v>15</v>
      </c>
      <c r="H180" s="38" t="s">
        <v>68</v>
      </c>
    </row>
    <row r="181" spans="2:8">
      <c r="B181" s="52" t="s">
        <v>230</v>
      </c>
      <c r="C181" s="37" t="s">
        <v>245</v>
      </c>
      <c r="D181" s="16">
        <v>10.36</v>
      </c>
      <c r="E181" s="37" t="s">
        <v>18</v>
      </c>
      <c r="F181" s="16">
        <f>11.33*D181</f>
        <v>117.3788</v>
      </c>
      <c r="G181" s="37" t="s">
        <v>15</v>
      </c>
      <c r="H181" s="38" t="s">
        <v>68</v>
      </c>
    </row>
    <row r="182" spans="2:8">
      <c r="B182" s="52" t="s">
        <v>230</v>
      </c>
      <c r="C182" s="37" t="s">
        <v>246</v>
      </c>
      <c r="D182" s="16">
        <v>35.409999999999997</v>
      </c>
      <c r="E182" s="37" t="s">
        <v>18</v>
      </c>
      <c r="F182" s="16">
        <f>11.5*D182</f>
        <v>407.21499999999997</v>
      </c>
      <c r="G182" s="37" t="s">
        <v>15</v>
      </c>
      <c r="H182" s="38" t="s">
        <v>68</v>
      </c>
    </row>
    <row r="183" spans="2:8">
      <c r="B183" s="52" t="s">
        <v>230</v>
      </c>
      <c r="C183" s="37" t="s">
        <v>247</v>
      </c>
      <c r="D183" s="16">
        <v>53.24</v>
      </c>
      <c r="E183" s="37" t="s">
        <v>18</v>
      </c>
      <c r="F183" s="16">
        <f>12*D183</f>
        <v>638.88</v>
      </c>
      <c r="G183" s="37" t="s">
        <v>15</v>
      </c>
      <c r="H183" s="38" t="s">
        <v>68</v>
      </c>
    </row>
    <row r="184" spans="2:8">
      <c r="B184" s="52" t="s">
        <v>230</v>
      </c>
      <c r="C184" s="37" t="s">
        <v>248</v>
      </c>
      <c r="D184" s="16">
        <v>21.85</v>
      </c>
      <c r="E184" s="37" t="s">
        <v>18</v>
      </c>
      <c r="F184" s="16">
        <f>15*D184</f>
        <v>327.75</v>
      </c>
      <c r="G184" s="37" t="s">
        <v>15</v>
      </c>
      <c r="H184" s="38" t="s">
        <v>68</v>
      </c>
    </row>
    <row r="185" spans="2:8">
      <c r="B185" s="52" t="s">
        <v>230</v>
      </c>
      <c r="C185" s="37" t="s">
        <v>249</v>
      </c>
      <c r="D185" s="16">
        <v>6.67</v>
      </c>
      <c r="E185" s="37" t="s">
        <v>18</v>
      </c>
      <c r="F185" s="16">
        <f>3.5*D185</f>
        <v>23.344999999999999</v>
      </c>
      <c r="G185" s="37" t="s">
        <v>15</v>
      </c>
      <c r="H185" s="38" t="s">
        <v>68</v>
      </c>
    </row>
    <row r="186" spans="2:8">
      <c r="B186" s="52" t="s">
        <v>230</v>
      </c>
      <c r="C186" s="37" t="s">
        <v>250</v>
      </c>
      <c r="D186" s="16">
        <v>96.81</v>
      </c>
      <c r="E186" s="37" t="s">
        <v>18</v>
      </c>
      <c r="F186" s="16">
        <f>4*D186</f>
        <v>387.24</v>
      </c>
      <c r="G186" s="37" t="s">
        <v>15</v>
      </c>
      <c r="H186" s="38" t="s">
        <v>68</v>
      </c>
    </row>
    <row r="187" spans="2:8">
      <c r="B187" s="52" t="s">
        <v>230</v>
      </c>
      <c r="C187" s="37" t="s">
        <v>251</v>
      </c>
      <c r="D187" s="16">
        <v>29.37</v>
      </c>
      <c r="E187" s="37" t="s">
        <v>18</v>
      </c>
      <c r="F187" s="16">
        <f>6*D187</f>
        <v>176.22</v>
      </c>
      <c r="G187" s="37" t="s">
        <v>15</v>
      </c>
      <c r="H187" s="38" t="s">
        <v>68</v>
      </c>
    </row>
    <row r="188" spans="2:8">
      <c r="B188" s="52" t="s">
        <v>230</v>
      </c>
      <c r="C188" s="37" t="s">
        <v>252</v>
      </c>
      <c r="D188" s="16">
        <v>23.92</v>
      </c>
      <c r="E188" s="37" t="s">
        <v>18</v>
      </c>
      <c r="F188" s="16">
        <f>5*D188</f>
        <v>119.60000000000001</v>
      </c>
      <c r="G188" s="37" t="s">
        <v>15</v>
      </c>
      <c r="H188" s="38" t="s">
        <v>68</v>
      </c>
    </row>
    <row r="189" spans="2:8">
      <c r="B189" s="52" t="s">
        <v>230</v>
      </c>
      <c r="C189" s="37" t="s">
        <v>253</v>
      </c>
      <c r="D189" s="16">
        <v>14.48</v>
      </c>
      <c r="E189" s="37" t="s">
        <v>18</v>
      </c>
      <c r="F189" s="16">
        <f>8*D189</f>
        <v>115.84</v>
      </c>
      <c r="G189" s="37" t="s">
        <v>15</v>
      </c>
      <c r="H189" s="38" t="s">
        <v>68</v>
      </c>
    </row>
    <row r="190" spans="2:8">
      <c r="B190" s="52" t="s">
        <v>230</v>
      </c>
      <c r="C190" s="37" t="s">
        <v>254</v>
      </c>
      <c r="D190" s="16">
        <v>35.270000000000003</v>
      </c>
      <c r="E190" s="37" t="s">
        <v>18</v>
      </c>
      <c r="F190" s="16">
        <f>3.5*D190</f>
        <v>123.44500000000001</v>
      </c>
      <c r="G190" s="37" t="s">
        <v>15</v>
      </c>
      <c r="H190" s="38" t="s">
        <v>68</v>
      </c>
    </row>
    <row r="191" spans="2:8">
      <c r="B191" s="52" t="s">
        <v>230</v>
      </c>
      <c r="C191" s="37" t="s">
        <v>255</v>
      </c>
      <c r="D191" s="16">
        <v>356</v>
      </c>
      <c r="E191" s="37" t="s">
        <v>15</v>
      </c>
      <c r="F191" s="16"/>
      <c r="G191" s="37"/>
      <c r="H191" s="38" t="s">
        <v>237</v>
      </c>
    </row>
    <row r="192" spans="2:8">
      <c r="B192" s="52" t="s">
        <v>230</v>
      </c>
      <c r="C192" s="37" t="s">
        <v>256</v>
      </c>
      <c r="D192" s="16">
        <v>57.38</v>
      </c>
      <c r="E192" s="37" t="s">
        <v>18</v>
      </c>
      <c r="F192" s="16">
        <f>10.5*D192</f>
        <v>602.49</v>
      </c>
      <c r="G192" s="37" t="s">
        <v>15</v>
      </c>
      <c r="H192" s="38" t="s">
        <v>68</v>
      </c>
    </row>
    <row r="193" spans="2:8">
      <c r="B193" s="52" t="s">
        <v>230</v>
      </c>
      <c r="C193" s="37" t="s">
        <v>257</v>
      </c>
      <c r="D193" s="16">
        <v>96.53</v>
      </c>
      <c r="E193" s="37" t="s">
        <v>18</v>
      </c>
      <c r="F193" s="16">
        <f>6.5*D193</f>
        <v>627.44500000000005</v>
      </c>
      <c r="G193" s="37" t="s">
        <v>15</v>
      </c>
      <c r="H193" s="38" t="s">
        <v>68</v>
      </c>
    </row>
    <row r="194" spans="2:8">
      <c r="B194" s="52" t="s">
        <v>230</v>
      </c>
      <c r="C194" s="37" t="s">
        <v>258</v>
      </c>
      <c r="D194" s="16">
        <v>6.88</v>
      </c>
      <c r="E194" s="37" t="s">
        <v>18</v>
      </c>
      <c r="F194" s="16">
        <f>7.33*D194</f>
        <v>50.430399999999999</v>
      </c>
      <c r="G194" s="37" t="s">
        <v>15</v>
      </c>
      <c r="H194" s="38" t="s">
        <v>68</v>
      </c>
    </row>
    <row r="195" spans="2:8">
      <c r="B195" s="33" t="s">
        <v>259</v>
      </c>
      <c r="C195" s="34"/>
      <c r="D195" s="35"/>
      <c r="E195" s="34"/>
      <c r="F195" s="35"/>
      <c r="G195" s="34"/>
      <c r="H195" s="36"/>
    </row>
    <row r="196" spans="2:8">
      <c r="B196" s="39" t="s">
        <v>260</v>
      </c>
      <c r="C196" s="37" t="s">
        <v>261</v>
      </c>
      <c r="D196" s="16">
        <v>2</v>
      </c>
      <c r="E196" s="37" t="s">
        <v>9</v>
      </c>
      <c r="F196" s="16">
        <f>10*5*D196</f>
        <v>100</v>
      </c>
      <c r="G196" s="37" t="s">
        <v>15</v>
      </c>
      <c r="H196" s="38" t="s">
        <v>128</v>
      </c>
    </row>
    <row r="197" spans="2:8">
      <c r="B197" s="39" t="s">
        <v>262</v>
      </c>
      <c r="C197" s="37" t="s">
        <v>262</v>
      </c>
      <c r="D197" s="16">
        <v>620</v>
      </c>
      <c r="E197" s="37" t="s">
        <v>15</v>
      </c>
      <c r="F197" s="16"/>
      <c r="G197" s="37"/>
      <c r="H197" s="38" t="s">
        <v>128</v>
      </c>
    </row>
    <row r="198" spans="2:8">
      <c r="B198" s="39" t="s">
        <v>263</v>
      </c>
      <c r="C198" s="37" t="s">
        <v>263</v>
      </c>
      <c r="D198" s="16">
        <v>4</v>
      </c>
      <c r="E198" s="37" t="s">
        <v>9</v>
      </c>
      <c r="F198" s="16"/>
      <c r="G198" s="37"/>
      <c r="H198" s="38" t="s">
        <v>264</v>
      </c>
    </row>
    <row r="199" spans="2:8">
      <c r="B199" s="39" t="s">
        <v>265</v>
      </c>
      <c r="C199" s="37" t="s">
        <v>265</v>
      </c>
      <c r="D199" s="16">
        <v>1</v>
      </c>
      <c r="E199" s="37" t="s">
        <v>9</v>
      </c>
      <c r="F199" s="16"/>
      <c r="G199" s="37"/>
      <c r="H199" s="38" t="s">
        <v>264</v>
      </c>
    </row>
    <row r="200" spans="2:8">
      <c r="B200" s="39" t="s">
        <v>266</v>
      </c>
      <c r="C200" s="37" t="s">
        <v>266</v>
      </c>
      <c r="D200" s="16">
        <v>4</v>
      </c>
      <c r="E200" s="37" t="s">
        <v>9</v>
      </c>
      <c r="F200" s="16"/>
      <c r="G200" s="37"/>
      <c r="H200" s="38" t="s">
        <v>81</v>
      </c>
    </row>
    <row r="201" spans="2:8">
      <c r="B201" s="51" t="s">
        <v>267</v>
      </c>
      <c r="C201" s="37" t="s">
        <v>268</v>
      </c>
      <c r="D201" s="16">
        <v>57.26</v>
      </c>
      <c r="E201" s="37" t="s">
        <v>18</v>
      </c>
      <c r="F201" s="16"/>
      <c r="G201" s="37"/>
      <c r="H201" s="38" t="s">
        <v>228</v>
      </c>
    </row>
    <row r="202" spans="2:8">
      <c r="B202" s="52" t="s">
        <v>267</v>
      </c>
      <c r="C202" s="37" t="s">
        <v>269</v>
      </c>
      <c r="D202" s="16">
        <v>3.92</v>
      </c>
      <c r="E202" s="37" t="s">
        <v>18</v>
      </c>
      <c r="F202" s="16"/>
      <c r="G202" s="37"/>
      <c r="H202" s="38" t="s">
        <v>228</v>
      </c>
    </row>
    <row r="203" spans="2:8">
      <c r="B203" s="51" t="s">
        <v>270</v>
      </c>
      <c r="C203" s="37" t="s">
        <v>271</v>
      </c>
      <c r="D203" s="16">
        <v>1</v>
      </c>
      <c r="E203" s="37" t="s">
        <v>9</v>
      </c>
      <c r="F203" s="16"/>
      <c r="G203" s="37"/>
      <c r="H203" s="38" t="s">
        <v>79</v>
      </c>
    </row>
    <row r="204" spans="2:8">
      <c r="B204" s="52" t="s">
        <v>270</v>
      </c>
      <c r="C204" s="37" t="s">
        <v>272</v>
      </c>
      <c r="D204" s="16">
        <v>2</v>
      </c>
      <c r="E204" s="37" t="s">
        <v>9</v>
      </c>
      <c r="F204" s="16"/>
      <c r="G204" s="37"/>
      <c r="H204" s="38" t="s">
        <v>264</v>
      </c>
    </row>
    <row r="205" spans="2:8">
      <c r="B205" s="52" t="s">
        <v>270</v>
      </c>
      <c r="C205" s="37" t="s">
        <v>273</v>
      </c>
      <c r="D205" s="16">
        <v>1</v>
      </c>
      <c r="E205" s="37" t="s">
        <v>9</v>
      </c>
      <c r="F205" s="16"/>
      <c r="G205" s="37"/>
      <c r="H205" s="38" t="s">
        <v>128</v>
      </c>
    </row>
    <row r="206" spans="2:8">
      <c r="B206" s="52" t="s">
        <v>270</v>
      </c>
      <c r="C206" s="37" t="s">
        <v>274</v>
      </c>
      <c r="D206" s="16">
        <v>4</v>
      </c>
      <c r="E206" s="37" t="s">
        <v>9</v>
      </c>
      <c r="F206" s="16"/>
      <c r="G206" s="37"/>
      <c r="H206" s="38" t="s">
        <v>135</v>
      </c>
    </row>
    <row r="207" spans="2:8">
      <c r="B207" s="51" t="s">
        <v>275</v>
      </c>
      <c r="C207" s="37" t="s">
        <v>276</v>
      </c>
      <c r="D207" s="16">
        <v>3</v>
      </c>
      <c r="E207" s="37" t="s">
        <v>9</v>
      </c>
      <c r="F207" s="16"/>
      <c r="G207" s="37"/>
      <c r="H207" s="38" t="s">
        <v>185</v>
      </c>
    </row>
    <row r="208" spans="2:8">
      <c r="B208" s="52" t="s">
        <v>275</v>
      </c>
      <c r="C208" s="37" t="s">
        <v>277</v>
      </c>
      <c r="D208" s="16">
        <v>15</v>
      </c>
      <c r="E208" s="37" t="s">
        <v>9</v>
      </c>
      <c r="F208" s="16"/>
      <c r="G208" s="37"/>
      <c r="H208" s="38" t="s">
        <v>185</v>
      </c>
    </row>
    <row r="209" spans="2:8">
      <c r="B209" s="52" t="s">
        <v>275</v>
      </c>
      <c r="C209" s="37" t="s">
        <v>278</v>
      </c>
      <c r="D209" s="16">
        <v>2</v>
      </c>
      <c r="E209" s="37" t="s">
        <v>9</v>
      </c>
      <c r="F209" s="16"/>
      <c r="G209" s="37"/>
      <c r="H209" s="38" t="s">
        <v>185</v>
      </c>
    </row>
    <row r="210" spans="2:8">
      <c r="B210" s="52" t="s">
        <v>275</v>
      </c>
      <c r="C210" s="37" t="s">
        <v>279</v>
      </c>
      <c r="D210" s="16">
        <v>3</v>
      </c>
      <c r="E210" s="37" t="s">
        <v>9</v>
      </c>
      <c r="F210" s="16"/>
      <c r="G210" s="37"/>
      <c r="H210" s="38" t="s">
        <v>185</v>
      </c>
    </row>
    <row r="211" spans="2:8">
      <c r="B211" s="33" t="s">
        <v>280</v>
      </c>
      <c r="C211" s="34"/>
      <c r="D211" s="35"/>
      <c r="E211" s="34"/>
      <c r="F211" s="35"/>
      <c r="G211" s="34"/>
      <c r="H211" s="36"/>
    </row>
    <row r="212" spans="2:8">
      <c r="B212" s="51" t="s">
        <v>281</v>
      </c>
      <c r="C212" s="37" t="s">
        <v>282</v>
      </c>
      <c r="D212" s="16">
        <v>8</v>
      </c>
      <c r="E212" s="37" t="s">
        <v>9</v>
      </c>
      <c r="F212" s="16"/>
      <c r="G212" s="37"/>
      <c r="H212" s="38" t="s">
        <v>283</v>
      </c>
    </row>
    <row r="213" spans="2:8">
      <c r="B213" s="52"/>
      <c r="C213" s="37" t="s">
        <v>284</v>
      </c>
      <c r="D213" s="16">
        <v>6</v>
      </c>
      <c r="E213" s="37" t="s">
        <v>9</v>
      </c>
      <c r="F213" s="16"/>
      <c r="G213" s="37"/>
      <c r="H213" s="38" t="s">
        <v>283</v>
      </c>
    </row>
    <row r="214" spans="2:8">
      <c r="B214" s="52"/>
      <c r="C214" s="37" t="s">
        <v>285</v>
      </c>
      <c r="D214" s="16">
        <v>2</v>
      </c>
      <c r="E214" s="37" t="s">
        <v>9</v>
      </c>
      <c r="F214" s="16"/>
      <c r="G214" s="37"/>
      <c r="H214" s="38" t="s">
        <v>283</v>
      </c>
    </row>
    <row r="215" spans="2:8">
      <c r="B215" s="52"/>
      <c r="C215" s="37" t="s">
        <v>286</v>
      </c>
      <c r="D215" s="16">
        <v>1</v>
      </c>
      <c r="E215" s="37" t="s">
        <v>9</v>
      </c>
      <c r="F215" s="16"/>
      <c r="G215" s="37"/>
      <c r="H215" s="38" t="s">
        <v>287</v>
      </c>
    </row>
    <row r="216" spans="2:8">
      <c r="B216" s="52"/>
      <c r="C216" s="37" t="s">
        <v>288</v>
      </c>
      <c r="D216" s="16">
        <v>1</v>
      </c>
      <c r="E216" s="37" t="s">
        <v>9</v>
      </c>
      <c r="F216" s="16"/>
      <c r="G216" s="37"/>
      <c r="H216" s="38" t="s">
        <v>283</v>
      </c>
    </row>
    <row r="217" spans="2:8">
      <c r="B217" s="52"/>
      <c r="C217" s="37" t="s">
        <v>289</v>
      </c>
      <c r="D217" s="16">
        <v>4</v>
      </c>
      <c r="E217" s="37" t="s">
        <v>9</v>
      </c>
      <c r="F217" s="16"/>
      <c r="G217" s="37"/>
      <c r="H217" s="38" t="s">
        <v>283</v>
      </c>
    </row>
    <row r="218" spans="2:8">
      <c r="B218" s="52"/>
      <c r="C218" s="37" t="s">
        <v>290</v>
      </c>
      <c r="D218" s="16">
        <v>3</v>
      </c>
      <c r="E218" s="37" t="s">
        <v>9</v>
      </c>
      <c r="F218" s="16"/>
      <c r="G218" s="37"/>
      <c r="H218" s="38" t="s">
        <v>283</v>
      </c>
    </row>
    <row r="219" spans="2:8">
      <c r="B219" s="52"/>
      <c r="C219" s="37" t="s">
        <v>291</v>
      </c>
      <c r="D219" s="16">
        <v>6</v>
      </c>
      <c r="E219" s="37" t="s">
        <v>9</v>
      </c>
      <c r="F219" s="16"/>
      <c r="G219" s="37"/>
      <c r="H219" s="38" t="s">
        <v>283</v>
      </c>
    </row>
    <row r="220" spans="2:8">
      <c r="B220" s="52"/>
      <c r="C220" s="37" t="s">
        <v>292</v>
      </c>
      <c r="D220" s="16">
        <v>2</v>
      </c>
      <c r="E220" s="37" t="s">
        <v>9</v>
      </c>
      <c r="F220" s="16"/>
      <c r="G220" s="37"/>
      <c r="H220" s="38" t="s">
        <v>283</v>
      </c>
    </row>
    <row r="221" spans="2:8">
      <c r="B221" s="52"/>
      <c r="C221" s="37" t="s">
        <v>293</v>
      </c>
      <c r="D221" s="16">
        <v>1</v>
      </c>
      <c r="E221" s="37" t="s">
        <v>9</v>
      </c>
      <c r="F221" s="16"/>
      <c r="G221" s="37"/>
      <c r="H221" s="38" t="s">
        <v>283</v>
      </c>
    </row>
    <row r="222" spans="2:8">
      <c r="B222" s="52"/>
      <c r="C222" s="37" t="s">
        <v>294</v>
      </c>
      <c r="D222" s="16">
        <v>2</v>
      </c>
      <c r="E222" s="37" t="s">
        <v>9</v>
      </c>
      <c r="F222" s="16"/>
      <c r="G222" s="37"/>
      <c r="H222" s="38" t="s">
        <v>283</v>
      </c>
    </row>
    <row r="223" spans="2:8">
      <c r="B223" s="52"/>
      <c r="C223" s="37" t="s">
        <v>295</v>
      </c>
      <c r="D223" s="16">
        <v>1</v>
      </c>
      <c r="E223" s="37" t="s">
        <v>9</v>
      </c>
      <c r="F223" s="16"/>
      <c r="G223" s="37"/>
      <c r="H223" s="38" t="s">
        <v>283</v>
      </c>
    </row>
    <row r="224" spans="2:8">
      <c r="B224" s="52"/>
      <c r="C224" s="37" t="s">
        <v>296</v>
      </c>
      <c r="D224" s="16">
        <v>1</v>
      </c>
      <c r="E224" s="37" t="s">
        <v>9</v>
      </c>
      <c r="F224" s="16"/>
      <c r="G224" s="37"/>
      <c r="H224" s="38" t="s">
        <v>283</v>
      </c>
    </row>
    <row r="225" spans="2:8">
      <c r="B225" s="52"/>
      <c r="C225" s="37" t="s">
        <v>297</v>
      </c>
      <c r="D225" s="16">
        <v>1</v>
      </c>
      <c r="E225" s="37" t="s">
        <v>9</v>
      </c>
      <c r="F225" s="16"/>
      <c r="G225" s="37"/>
      <c r="H225" s="38" t="s">
        <v>283</v>
      </c>
    </row>
    <row r="226" spans="2:8">
      <c r="B226" s="52"/>
      <c r="C226" s="37" t="s">
        <v>298</v>
      </c>
      <c r="D226" s="16">
        <v>1</v>
      </c>
      <c r="E226" s="37" t="s">
        <v>9</v>
      </c>
      <c r="F226" s="16"/>
      <c r="G226" s="37"/>
      <c r="H226" s="38" t="s">
        <v>283</v>
      </c>
    </row>
    <row r="227" spans="2:8">
      <c r="B227" s="52"/>
      <c r="C227" s="37" t="s">
        <v>299</v>
      </c>
      <c r="D227" s="16">
        <v>1</v>
      </c>
      <c r="E227" s="37" t="s">
        <v>9</v>
      </c>
      <c r="F227" s="16"/>
      <c r="G227" s="37"/>
      <c r="H227" s="38" t="s">
        <v>283</v>
      </c>
    </row>
    <row r="228" spans="2:8">
      <c r="B228" s="52"/>
      <c r="C228" s="37" t="s">
        <v>300</v>
      </c>
      <c r="D228" s="16">
        <v>59</v>
      </c>
      <c r="E228" s="37" t="s">
        <v>9</v>
      </c>
      <c r="F228" s="16"/>
      <c r="G228" s="37"/>
      <c r="H228" s="38" t="s">
        <v>283</v>
      </c>
    </row>
    <row r="229" spans="2:8">
      <c r="B229" s="52"/>
      <c r="C229" s="37" t="s">
        <v>301</v>
      </c>
      <c r="D229" s="16">
        <v>2</v>
      </c>
      <c r="E229" s="37" t="s">
        <v>9</v>
      </c>
      <c r="F229" s="16"/>
      <c r="G229" s="37"/>
      <c r="H229" s="38" t="s">
        <v>283</v>
      </c>
    </row>
    <row r="230" spans="2:8">
      <c r="B230" s="52"/>
      <c r="C230" s="37" t="s">
        <v>302</v>
      </c>
      <c r="D230" s="16">
        <v>1</v>
      </c>
      <c r="E230" s="37" t="s">
        <v>9</v>
      </c>
      <c r="F230" s="16"/>
      <c r="G230" s="37"/>
      <c r="H230" s="38" t="s">
        <v>283</v>
      </c>
    </row>
    <row r="231" spans="2:8">
      <c r="B231" s="52"/>
      <c r="C231" s="37" t="s">
        <v>303</v>
      </c>
      <c r="D231" s="16">
        <v>3</v>
      </c>
      <c r="E231" s="37" t="s">
        <v>9</v>
      </c>
      <c r="F231" s="16"/>
      <c r="G231" s="37"/>
      <c r="H231" s="38" t="s">
        <v>283</v>
      </c>
    </row>
    <row r="232" spans="2:8">
      <c r="B232" s="52"/>
      <c r="C232" s="37" t="s">
        <v>304</v>
      </c>
      <c r="D232" s="16">
        <v>8</v>
      </c>
      <c r="E232" s="37" t="s">
        <v>9</v>
      </c>
      <c r="F232" s="16"/>
      <c r="G232" s="37"/>
      <c r="H232" s="38" t="s">
        <v>283</v>
      </c>
    </row>
    <row r="233" spans="2:8">
      <c r="B233" s="52"/>
      <c r="C233" s="37" t="s">
        <v>305</v>
      </c>
      <c r="D233" s="16">
        <v>1</v>
      </c>
      <c r="E233" s="37" t="s">
        <v>9</v>
      </c>
      <c r="F233" s="16"/>
      <c r="G233" s="37"/>
      <c r="H233" s="38" t="s">
        <v>283</v>
      </c>
    </row>
    <row r="234" spans="2:8">
      <c r="B234" s="52"/>
      <c r="C234" s="37" t="s">
        <v>306</v>
      </c>
      <c r="D234" s="16">
        <v>2</v>
      </c>
      <c r="E234" s="37" t="s">
        <v>9</v>
      </c>
      <c r="F234" s="16"/>
      <c r="G234" s="37"/>
      <c r="H234" s="38" t="s">
        <v>283</v>
      </c>
    </row>
    <row r="235" spans="2:8">
      <c r="B235" s="52"/>
      <c r="C235" s="37" t="s">
        <v>307</v>
      </c>
      <c r="D235" s="16">
        <v>1</v>
      </c>
      <c r="E235" s="37" t="s">
        <v>9</v>
      </c>
      <c r="F235" s="16"/>
      <c r="G235" s="37"/>
      <c r="H235" s="38" t="s">
        <v>283</v>
      </c>
    </row>
    <row r="236" spans="2:8">
      <c r="B236" s="52"/>
      <c r="C236" s="37" t="s">
        <v>308</v>
      </c>
      <c r="D236" s="16">
        <v>8</v>
      </c>
      <c r="E236" s="37" t="s">
        <v>9</v>
      </c>
      <c r="F236" s="16"/>
      <c r="G236" s="37"/>
      <c r="H236" s="38" t="s">
        <v>283</v>
      </c>
    </row>
    <row r="237" spans="2:8">
      <c r="B237" s="52"/>
      <c r="C237" s="37" t="s">
        <v>309</v>
      </c>
      <c r="D237" s="16">
        <v>3</v>
      </c>
      <c r="E237" s="37" t="s">
        <v>9</v>
      </c>
      <c r="F237" s="16"/>
      <c r="G237" s="37"/>
      <c r="H237" s="38" t="s">
        <v>283</v>
      </c>
    </row>
    <row r="238" spans="2:8">
      <c r="B238" s="52"/>
      <c r="C238" s="37" t="s">
        <v>310</v>
      </c>
      <c r="D238" s="16">
        <v>4</v>
      </c>
      <c r="E238" s="37" t="s">
        <v>9</v>
      </c>
      <c r="F238" s="16"/>
      <c r="G238" s="37"/>
      <c r="H238" s="38" t="s">
        <v>283</v>
      </c>
    </row>
    <row r="239" spans="2:8">
      <c r="B239" s="52"/>
      <c r="C239" s="37" t="s">
        <v>311</v>
      </c>
      <c r="D239" s="16">
        <v>1</v>
      </c>
      <c r="E239" s="37" t="s">
        <v>9</v>
      </c>
      <c r="F239" s="16"/>
      <c r="G239" s="37"/>
      <c r="H239" s="38" t="s">
        <v>283</v>
      </c>
    </row>
    <row r="240" spans="2:8">
      <c r="B240" s="52"/>
      <c r="C240" s="37" t="s">
        <v>312</v>
      </c>
      <c r="D240" s="16">
        <v>1</v>
      </c>
      <c r="E240" s="37" t="s">
        <v>9</v>
      </c>
      <c r="F240" s="16"/>
      <c r="G240" s="37"/>
      <c r="H240" s="38" t="s">
        <v>283</v>
      </c>
    </row>
    <row r="241" spans="2:8">
      <c r="B241" s="52"/>
      <c r="C241" s="37" t="s">
        <v>313</v>
      </c>
      <c r="D241" s="16">
        <v>1</v>
      </c>
      <c r="E241" s="37" t="s">
        <v>9</v>
      </c>
      <c r="F241" s="16"/>
      <c r="G241" s="37"/>
      <c r="H241" s="38" t="s">
        <v>283</v>
      </c>
    </row>
    <row r="242" spans="2:8">
      <c r="B242" s="52"/>
      <c r="C242" s="37" t="s">
        <v>314</v>
      </c>
      <c r="D242" s="16">
        <v>6</v>
      </c>
      <c r="E242" s="37" t="s">
        <v>9</v>
      </c>
      <c r="F242" s="16"/>
      <c r="G242" s="37"/>
      <c r="H242" s="38" t="s">
        <v>283</v>
      </c>
    </row>
    <row r="243" spans="2:8">
      <c r="B243" s="52"/>
      <c r="C243" s="37" t="s">
        <v>315</v>
      </c>
      <c r="D243" s="16">
        <v>4</v>
      </c>
      <c r="E243" s="37" t="s">
        <v>9</v>
      </c>
      <c r="F243" s="16"/>
      <c r="G243" s="37"/>
      <c r="H243" s="38" t="s">
        <v>283</v>
      </c>
    </row>
    <row r="244" spans="2:8">
      <c r="B244" s="52"/>
      <c r="C244" s="37" t="s">
        <v>316</v>
      </c>
      <c r="D244" s="16">
        <v>1</v>
      </c>
      <c r="E244" s="37" t="s">
        <v>9</v>
      </c>
      <c r="F244" s="16"/>
      <c r="G244" s="37"/>
      <c r="H244" s="38" t="s">
        <v>283</v>
      </c>
    </row>
    <row r="245" spans="2:8">
      <c r="B245" s="52"/>
      <c r="C245" s="37" t="s">
        <v>317</v>
      </c>
      <c r="D245" s="16">
        <v>6</v>
      </c>
      <c r="E245" s="37" t="s">
        <v>9</v>
      </c>
      <c r="F245" s="16"/>
      <c r="G245" s="37"/>
      <c r="H245" s="38" t="s">
        <v>283</v>
      </c>
    </row>
    <row r="246" spans="2:8">
      <c r="B246" s="52"/>
      <c r="C246" s="37" t="s">
        <v>318</v>
      </c>
      <c r="D246" s="16">
        <v>1</v>
      </c>
      <c r="E246" s="37" t="s">
        <v>9</v>
      </c>
      <c r="F246" s="16"/>
      <c r="G246" s="37"/>
      <c r="H246" s="38" t="s">
        <v>283</v>
      </c>
    </row>
    <row r="247" spans="2:8">
      <c r="B247" s="52"/>
      <c r="C247" s="37" t="s">
        <v>319</v>
      </c>
      <c r="D247" s="16">
        <v>1</v>
      </c>
      <c r="E247" s="37" t="s">
        <v>9</v>
      </c>
      <c r="F247" s="16"/>
      <c r="G247" s="37"/>
      <c r="H247" s="38" t="s">
        <v>283</v>
      </c>
    </row>
    <row r="248" spans="2:8">
      <c r="B248" s="52"/>
      <c r="C248" s="37" t="s">
        <v>320</v>
      </c>
      <c r="D248" s="16">
        <v>1</v>
      </c>
      <c r="E248" s="37" t="s">
        <v>9</v>
      </c>
      <c r="F248" s="16"/>
      <c r="G248" s="37"/>
      <c r="H248" s="38" t="s">
        <v>283</v>
      </c>
    </row>
    <row r="249" spans="2:8">
      <c r="B249" s="52"/>
      <c r="C249" s="37" t="s">
        <v>321</v>
      </c>
      <c r="D249" s="16">
        <v>1</v>
      </c>
      <c r="E249" s="37" t="s">
        <v>9</v>
      </c>
      <c r="F249" s="16"/>
      <c r="G249" s="37"/>
      <c r="H249" s="38" t="s">
        <v>283</v>
      </c>
    </row>
    <row r="250" spans="2:8">
      <c r="B250" s="52"/>
      <c r="C250" s="37" t="s">
        <v>322</v>
      </c>
      <c r="D250" s="16">
        <v>4</v>
      </c>
      <c r="E250" s="37" t="s">
        <v>9</v>
      </c>
      <c r="F250" s="16"/>
      <c r="G250" s="37"/>
      <c r="H250" s="38" t="s">
        <v>283</v>
      </c>
    </row>
    <row r="251" spans="2:8">
      <c r="B251" s="52"/>
      <c r="C251" s="37" t="s">
        <v>323</v>
      </c>
      <c r="D251" s="16">
        <v>2</v>
      </c>
      <c r="E251" s="37" t="s">
        <v>9</v>
      </c>
      <c r="F251" s="16"/>
      <c r="G251" s="37"/>
      <c r="H251" s="38" t="s">
        <v>283</v>
      </c>
    </row>
    <row r="252" spans="2:8">
      <c r="B252" s="52"/>
      <c r="C252" s="37" t="s">
        <v>324</v>
      </c>
      <c r="D252" s="16">
        <v>24</v>
      </c>
      <c r="E252" s="37" t="s">
        <v>9</v>
      </c>
      <c r="F252" s="16"/>
      <c r="G252" s="37"/>
      <c r="H252" s="38" t="s">
        <v>283</v>
      </c>
    </row>
    <row r="253" spans="2:8">
      <c r="B253" s="52"/>
      <c r="C253" s="37" t="s">
        <v>325</v>
      </c>
      <c r="D253" s="16">
        <v>24</v>
      </c>
      <c r="E253" s="37" t="s">
        <v>9</v>
      </c>
      <c r="F253" s="16"/>
      <c r="G253" s="37"/>
      <c r="H253" s="38" t="s">
        <v>283</v>
      </c>
    </row>
    <row r="254" spans="2:8">
      <c r="B254" s="52"/>
      <c r="C254" s="37" t="s">
        <v>326</v>
      </c>
      <c r="D254" s="16">
        <v>16</v>
      </c>
      <c r="E254" s="37" t="s">
        <v>9</v>
      </c>
      <c r="F254" s="16"/>
      <c r="G254" s="37"/>
      <c r="H254" s="38" t="s">
        <v>283</v>
      </c>
    </row>
    <row r="255" spans="2:8">
      <c r="B255" s="52"/>
      <c r="C255" s="37" t="s">
        <v>327</v>
      </c>
      <c r="D255" s="16">
        <v>2</v>
      </c>
      <c r="E255" s="37" t="s">
        <v>9</v>
      </c>
      <c r="F255" s="16"/>
      <c r="G255" s="37"/>
      <c r="H255" s="38" t="s">
        <v>283</v>
      </c>
    </row>
    <row r="256" spans="2:8">
      <c r="B256" s="52"/>
      <c r="C256" s="37" t="s">
        <v>328</v>
      </c>
      <c r="D256" s="16">
        <v>1</v>
      </c>
      <c r="E256" s="37" t="s">
        <v>9</v>
      </c>
      <c r="F256" s="16"/>
      <c r="G256" s="37"/>
      <c r="H256" s="38" t="s">
        <v>283</v>
      </c>
    </row>
    <row r="257" spans="2:8">
      <c r="B257" s="52"/>
      <c r="C257" s="37" t="s">
        <v>329</v>
      </c>
      <c r="D257" s="16">
        <v>2</v>
      </c>
      <c r="E257" s="37" t="s">
        <v>9</v>
      </c>
      <c r="F257" s="16"/>
      <c r="G257" s="37"/>
      <c r="H257" s="38" t="s">
        <v>283</v>
      </c>
    </row>
    <row r="258" spans="2:8">
      <c r="B258" s="52"/>
      <c r="C258" s="37" t="s">
        <v>330</v>
      </c>
      <c r="D258" s="16">
        <v>3</v>
      </c>
      <c r="E258" s="37" t="s">
        <v>9</v>
      </c>
      <c r="F258" s="16"/>
      <c r="G258" s="37"/>
      <c r="H258" s="38" t="s">
        <v>283</v>
      </c>
    </row>
    <row r="259" spans="2:8">
      <c r="B259" s="52"/>
      <c r="C259" s="37" t="s">
        <v>331</v>
      </c>
      <c r="D259" s="16">
        <v>24</v>
      </c>
      <c r="E259" s="37" t="s">
        <v>9</v>
      </c>
      <c r="F259" s="16"/>
      <c r="G259" s="37"/>
      <c r="H259" s="38" t="s">
        <v>283</v>
      </c>
    </row>
    <row r="260" spans="2:8">
      <c r="B260" s="52"/>
      <c r="C260" s="37" t="s">
        <v>332</v>
      </c>
      <c r="D260" s="16">
        <v>7</v>
      </c>
      <c r="E260" s="37" t="s">
        <v>9</v>
      </c>
      <c r="F260" s="16"/>
      <c r="G260" s="37"/>
      <c r="H260" s="38" t="s">
        <v>283</v>
      </c>
    </row>
    <row r="261" spans="2:8">
      <c r="B261" s="52"/>
      <c r="C261" s="37" t="s">
        <v>333</v>
      </c>
      <c r="D261" s="16">
        <v>2</v>
      </c>
      <c r="E261" s="37" t="s">
        <v>9</v>
      </c>
      <c r="F261" s="16"/>
      <c r="G261" s="37"/>
      <c r="H261" s="38" t="s">
        <v>283</v>
      </c>
    </row>
    <row r="262" spans="2:8">
      <c r="B262" s="52"/>
      <c r="C262" s="37" t="s">
        <v>334</v>
      </c>
      <c r="D262" s="16">
        <v>1</v>
      </c>
      <c r="E262" s="37" t="s">
        <v>9</v>
      </c>
      <c r="F262" s="16"/>
      <c r="G262" s="37"/>
      <c r="H262" s="38" t="s">
        <v>283</v>
      </c>
    </row>
    <row r="263" spans="2:8">
      <c r="B263" s="52"/>
      <c r="C263" s="37" t="s">
        <v>335</v>
      </c>
      <c r="D263" s="16">
        <v>5</v>
      </c>
      <c r="E263" s="37" t="s">
        <v>9</v>
      </c>
      <c r="F263" s="16"/>
      <c r="G263" s="37"/>
      <c r="H263" s="38" t="s">
        <v>287</v>
      </c>
    </row>
    <row r="264" spans="2:8">
      <c r="B264" s="52"/>
      <c r="C264" s="37" t="s">
        <v>336</v>
      </c>
      <c r="D264" s="16">
        <v>1</v>
      </c>
      <c r="E264" s="37" t="s">
        <v>9</v>
      </c>
      <c r="F264" s="16"/>
      <c r="G264" s="37"/>
      <c r="H264" s="38" t="s">
        <v>283</v>
      </c>
    </row>
    <row r="265" spans="2:8">
      <c r="B265" s="52"/>
      <c r="C265" s="37" t="s">
        <v>337</v>
      </c>
      <c r="D265" s="16">
        <v>2</v>
      </c>
      <c r="E265" s="37" t="s">
        <v>9</v>
      </c>
      <c r="F265" s="16"/>
      <c r="G265" s="37"/>
      <c r="H265" s="38" t="s">
        <v>283</v>
      </c>
    </row>
    <row r="266" spans="2:8">
      <c r="B266" s="52"/>
      <c r="C266" s="37" t="s">
        <v>338</v>
      </c>
      <c r="D266" s="16">
        <v>3</v>
      </c>
      <c r="E266" s="37" t="s">
        <v>9</v>
      </c>
      <c r="F266" s="16"/>
      <c r="G266" s="37"/>
      <c r="H266" s="38" t="s">
        <v>283</v>
      </c>
    </row>
    <row r="267" spans="2:8">
      <c r="B267" s="52"/>
      <c r="C267" s="37" t="s">
        <v>339</v>
      </c>
      <c r="D267" s="16">
        <v>1</v>
      </c>
      <c r="E267" s="37" t="s">
        <v>9</v>
      </c>
      <c r="F267" s="16"/>
      <c r="G267" s="37"/>
      <c r="H267" s="38" t="s">
        <v>283</v>
      </c>
    </row>
    <row r="268" spans="2:8">
      <c r="B268" s="52"/>
      <c r="C268" s="37" t="s">
        <v>340</v>
      </c>
      <c r="D268" s="16">
        <v>3</v>
      </c>
      <c r="E268" s="37" t="s">
        <v>9</v>
      </c>
      <c r="F268" s="16"/>
      <c r="G268" s="37"/>
      <c r="H268" s="38" t="s">
        <v>283</v>
      </c>
    </row>
    <row r="269" spans="2:8">
      <c r="B269" s="52"/>
      <c r="C269" s="37" t="s">
        <v>341</v>
      </c>
      <c r="D269" s="16">
        <v>2</v>
      </c>
      <c r="E269" s="37" t="s">
        <v>9</v>
      </c>
      <c r="F269" s="16"/>
      <c r="G269" s="37"/>
      <c r="H269" s="38" t="s">
        <v>283</v>
      </c>
    </row>
    <row r="270" spans="2:8">
      <c r="B270" s="52"/>
      <c r="C270" s="37" t="s">
        <v>342</v>
      </c>
      <c r="D270" s="16">
        <v>2</v>
      </c>
      <c r="E270" s="37" t="s">
        <v>9</v>
      </c>
      <c r="F270" s="16"/>
      <c r="G270" s="37"/>
      <c r="H270" s="38" t="s">
        <v>283</v>
      </c>
    </row>
    <row r="271" spans="2:8">
      <c r="B271" s="52"/>
      <c r="C271" s="37" t="s">
        <v>343</v>
      </c>
      <c r="D271" s="16">
        <v>1</v>
      </c>
      <c r="E271" s="37" t="s">
        <v>9</v>
      </c>
      <c r="F271" s="16"/>
      <c r="G271" s="37"/>
      <c r="H271" s="38" t="s">
        <v>283</v>
      </c>
    </row>
    <row r="272" spans="2:8">
      <c r="B272" s="52"/>
      <c r="C272" s="37" t="s">
        <v>344</v>
      </c>
      <c r="D272" s="16">
        <v>6</v>
      </c>
      <c r="E272" s="37" t="s">
        <v>9</v>
      </c>
      <c r="F272" s="16"/>
      <c r="G272" s="37"/>
      <c r="H272" s="38" t="s">
        <v>283</v>
      </c>
    </row>
    <row r="273" spans="2:8">
      <c r="B273" s="52"/>
      <c r="C273" s="37" t="s">
        <v>345</v>
      </c>
      <c r="D273" s="16">
        <v>2</v>
      </c>
      <c r="E273" s="37" t="s">
        <v>9</v>
      </c>
      <c r="F273" s="16"/>
      <c r="G273" s="37"/>
      <c r="H273" s="38" t="s">
        <v>283</v>
      </c>
    </row>
    <row r="274" spans="2:8">
      <c r="B274" s="52"/>
      <c r="C274" s="37" t="s">
        <v>346</v>
      </c>
      <c r="D274" s="16">
        <v>1</v>
      </c>
      <c r="E274" s="37" t="s">
        <v>9</v>
      </c>
      <c r="F274" s="16"/>
      <c r="G274" s="37"/>
      <c r="H274" s="38" t="s">
        <v>283</v>
      </c>
    </row>
    <row r="275" spans="2:8">
      <c r="B275" s="52"/>
      <c r="C275" s="37" t="s">
        <v>347</v>
      </c>
      <c r="D275" s="16">
        <v>1</v>
      </c>
      <c r="E275" s="37" t="s">
        <v>9</v>
      </c>
      <c r="F275" s="16"/>
      <c r="G275" s="37"/>
      <c r="H275" s="38" t="s">
        <v>283</v>
      </c>
    </row>
    <row r="276" spans="2:8">
      <c r="B276" s="52"/>
      <c r="C276" s="37" t="s">
        <v>348</v>
      </c>
      <c r="D276" s="16">
        <v>1</v>
      </c>
      <c r="E276" s="37" t="s">
        <v>9</v>
      </c>
      <c r="F276" s="16"/>
      <c r="G276" s="37"/>
      <c r="H276" s="38" t="s">
        <v>283</v>
      </c>
    </row>
    <row r="277" spans="2:8">
      <c r="B277" s="52"/>
      <c r="C277" s="37" t="s">
        <v>349</v>
      </c>
      <c r="D277" s="16">
        <v>2</v>
      </c>
      <c r="E277" s="37" t="s">
        <v>9</v>
      </c>
      <c r="F277" s="16"/>
      <c r="G277" s="37"/>
      <c r="H277" s="38" t="s">
        <v>283</v>
      </c>
    </row>
    <row r="278" spans="2:8">
      <c r="B278" s="52"/>
      <c r="C278" s="37" t="s">
        <v>350</v>
      </c>
      <c r="D278" s="16">
        <v>5</v>
      </c>
      <c r="E278" s="37" t="s">
        <v>9</v>
      </c>
      <c r="F278" s="16"/>
      <c r="G278" s="37"/>
      <c r="H278" s="38" t="s">
        <v>283</v>
      </c>
    </row>
    <row r="279" spans="2:8">
      <c r="B279" s="52"/>
      <c r="C279" s="37" t="s">
        <v>351</v>
      </c>
      <c r="D279" s="16">
        <v>2</v>
      </c>
      <c r="E279" s="37" t="s">
        <v>9</v>
      </c>
      <c r="F279" s="16"/>
      <c r="G279" s="37"/>
      <c r="H279" s="38" t="s">
        <v>287</v>
      </c>
    </row>
    <row r="280" spans="2:8">
      <c r="B280" s="52"/>
      <c r="C280" s="37" t="s">
        <v>352</v>
      </c>
      <c r="D280" s="16">
        <v>1</v>
      </c>
      <c r="E280" s="37" t="s">
        <v>9</v>
      </c>
      <c r="F280" s="16"/>
      <c r="G280" s="37"/>
      <c r="H280" s="38" t="s">
        <v>283</v>
      </c>
    </row>
    <row r="281" spans="2:8">
      <c r="B281" s="52"/>
      <c r="C281" s="37" t="s">
        <v>353</v>
      </c>
      <c r="D281" s="16">
        <v>1</v>
      </c>
      <c r="E281" s="37" t="s">
        <v>9</v>
      </c>
      <c r="F281" s="16"/>
      <c r="G281" s="37"/>
      <c r="H281" s="38" t="s">
        <v>283</v>
      </c>
    </row>
    <row r="282" spans="2:8">
      <c r="B282" s="52"/>
      <c r="C282" s="37" t="s">
        <v>354</v>
      </c>
      <c r="D282" s="16">
        <v>1</v>
      </c>
      <c r="E282" s="37" t="s">
        <v>9</v>
      </c>
      <c r="F282" s="16"/>
      <c r="G282" s="37"/>
      <c r="H282" s="38" t="s">
        <v>283</v>
      </c>
    </row>
    <row r="283" spans="2:8">
      <c r="B283" s="52"/>
      <c r="C283" s="37" t="s">
        <v>355</v>
      </c>
      <c r="D283" s="16">
        <v>3</v>
      </c>
      <c r="E283" s="37" t="s">
        <v>9</v>
      </c>
      <c r="F283" s="16"/>
      <c r="G283" s="37"/>
      <c r="H283" s="38" t="s">
        <v>283</v>
      </c>
    </row>
    <row r="284" spans="2:8">
      <c r="B284" s="52"/>
      <c r="C284" s="37" t="s">
        <v>356</v>
      </c>
      <c r="D284" s="16">
        <v>2</v>
      </c>
      <c r="E284" s="37" t="s">
        <v>9</v>
      </c>
      <c r="F284" s="16"/>
      <c r="G284" s="37"/>
      <c r="H284" s="38" t="s">
        <v>283</v>
      </c>
    </row>
    <row r="285" spans="2:8">
      <c r="B285" s="52"/>
      <c r="C285" s="37" t="s">
        <v>357</v>
      </c>
      <c r="D285" s="16">
        <v>1</v>
      </c>
      <c r="E285" s="37" t="s">
        <v>9</v>
      </c>
      <c r="F285" s="16"/>
      <c r="G285" s="37"/>
      <c r="H285" s="38" t="s">
        <v>283</v>
      </c>
    </row>
    <row r="286" spans="2:8">
      <c r="B286" s="52"/>
      <c r="C286" s="37" t="s">
        <v>358</v>
      </c>
      <c r="D286" s="16">
        <v>1</v>
      </c>
      <c r="E286" s="37" t="s">
        <v>9</v>
      </c>
      <c r="F286" s="16"/>
      <c r="G286" s="37"/>
      <c r="H286" s="38" t="s">
        <v>283</v>
      </c>
    </row>
    <row r="287" spans="2:8">
      <c r="B287" s="52"/>
      <c r="C287" s="37" t="s">
        <v>359</v>
      </c>
      <c r="D287" s="16">
        <v>2</v>
      </c>
      <c r="E287" s="37" t="s">
        <v>9</v>
      </c>
      <c r="F287" s="16"/>
      <c r="G287" s="37"/>
      <c r="H287" s="38" t="s">
        <v>283</v>
      </c>
    </row>
    <row r="288" spans="2:8">
      <c r="B288" s="52"/>
      <c r="C288" s="37" t="s">
        <v>360</v>
      </c>
      <c r="D288" s="16">
        <v>1</v>
      </c>
      <c r="E288" s="37" t="s">
        <v>9</v>
      </c>
      <c r="F288" s="16"/>
      <c r="G288" s="37"/>
      <c r="H288" s="38" t="s">
        <v>283</v>
      </c>
    </row>
    <row r="289" spans="2:8">
      <c r="B289" s="52"/>
      <c r="C289" s="37" t="s">
        <v>361</v>
      </c>
      <c r="D289" s="16">
        <v>1</v>
      </c>
      <c r="E289" s="37" t="s">
        <v>9</v>
      </c>
      <c r="F289" s="16"/>
      <c r="G289" s="37"/>
      <c r="H289" s="38" t="s">
        <v>283</v>
      </c>
    </row>
    <row r="290" spans="2:8">
      <c r="B290" s="52"/>
      <c r="C290" s="37" t="s">
        <v>362</v>
      </c>
      <c r="D290" s="16">
        <v>1</v>
      </c>
      <c r="E290" s="37" t="s">
        <v>9</v>
      </c>
      <c r="F290" s="16"/>
      <c r="G290" s="37"/>
      <c r="H290" s="38" t="s">
        <v>283</v>
      </c>
    </row>
    <row r="291" spans="2:8">
      <c r="B291" s="52"/>
      <c r="C291" s="37" t="s">
        <v>363</v>
      </c>
      <c r="D291" s="16">
        <v>1</v>
      </c>
      <c r="E291" s="37" t="s">
        <v>9</v>
      </c>
      <c r="F291" s="16"/>
      <c r="G291" s="37"/>
      <c r="H291" s="38" t="s">
        <v>283</v>
      </c>
    </row>
    <row r="292" spans="2:8">
      <c r="B292" s="52"/>
      <c r="C292" s="37" t="s">
        <v>364</v>
      </c>
      <c r="D292" s="16">
        <v>7</v>
      </c>
      <c r="E292" s="37" t="s">
        <v>9</v>
      </c>
      <c r="F292" s="16"/>
      <c r="G292" s="37"/>
      <c r="H292" s="38" t="s">
        <v>283</v>
      </c>
    </row>
    <row r="293" spans="2:8">
      <c r="B293" s="52"/>
      <c r="C293" s="37" t="s">
        <v>365</v>
      </c>
      <c r="D293" s="16">
        <v>3</v>
      </c>
      <c r="E293" s="37" t="s">
        <v>9</v>
      </c>
      <c r="F293" s="16"/>
      <c r="G293" s="37"/>
      <c r="H293" s="38" t="s">
        <v>283</v>
      </c>
    </row>
    <row r="294" spans="2:8">
      <c r="B294" s="52"/>
      <c r="C294" s="37" t="s">
        <v>366</v>
      </c>
      <c r="D294" s="16">
        <v>1</v>
      </c>
      <c r="E294" s="37" t="s">
        <v>9</v>
      </c>
      <c r="F294" s="16"/>
      <c r="G294" s="37"/>
      <c r="H294" s="38" t="s">
        <v>283</v>
      </c>
    </row>
    <row r="295" spans="2:8">
      <c r="B295" s="52"/>
      <c r="C295" s="37" t="s">
        <v>367</v>
      </c>
      <c r="D295" s="16">
        <v>1</v>
      </c>
      <c r="E295" s="37" t="s">
        <v>9</v>
      </c>
      <c r="F295" s="16"/>
      <c r="G295" s="37"/>
      <c r="H295" s="38" t="s">
        <v>283</v>
      </c>
    </row>
    <row r="296" spans="2:8">
      <c r="B296" s="52"/>
      <c r="C296" s="37" t="s">
        <v>368</v>
      </c>
      <c r="D296" s="16">
        <v>1</v>
      </c>
      <c r="E296" s="37" t="s">
        <v>9</v>
      </c>
      <c r="F296" s="16"/>
      <c r="G296" s="37"/>
      <c r="H296" s="38" t="s">
        <v>283</v>
      </c>
    </row>
    <row r="297" spans="2:8">
      <c r="B297" s="52"/>
      <c r="C297" s="37" t="s">
        <v>369</v>
      </c>
      <c r="D297" s="16">
        <v>1</v>
      </c>
      <c r="E297" s="37" t="s">
        <v>9</v>
      </c>
      <c r="F297" s="16"/>
      <c r="G297" s="37"/>
      <c r="H297" s="38" t="s">
        <v>283</v>
      </c>
    </row>
    <row r="298" spans="2:8">
      <c r="B298" s="52"/>
      <c r="C298" s="37" t="s">
        <v>370</v>
      </c>
      <c r="D298" s="16">
        <v>1</v>
      </c>
      <c r="E298" s="37" t="s">
        <v>9</v>
      </c>
      <c r="F298" s="16"/>
      <c r="G298" s="37"/>
      <c r="H298" s="38" t="s">
        <v>283</v>
      </c>
    </row>
    <row r="299" spans="2:8">
      <c r="B299" s="52"/>
      <c r="C299" s="37" t="s">
        <v>371</v>
      </c>
      <c r="D299" s="16">
        <v>1</v>
      </c>
      <c r="E299" s="37" t="s">
        <v>9</v>
      </c>
      <c r="F299" s="16"/>
      <c r="G299" s="37"/>
      <c r="H299" s="38" t="s">
        <v>283</v>
      </c>
    </row>
    <row r="300" spans="2:8">
      <c r="B300" s="52"/>
      <c r="C300" s="37" t="s">
        <v>372</v>
      </c>
      <c r="D300" s="16">
        <v>1</v>
      </c>
      <c r="E300" s="37" t="s">
        <v>9</v>
      </c>
      <c r="F300" s="16"/>
      <c r="G300" s="37"/>
      <c r="H300" s="38" t="s">
        <v>283</v>
      </c>
    </row>
    <row r="301" spans="2:8">
      <c r="B301" s="52"/>
      <c r="C301" s="37" t="s">
        <v>373</v>
      </c>
      <c r="D301" s="16">
        <v>1</v>
      </c>
      <c r="E301" s="37" t="s">
        <v>9</v>
      </c>
      <c r="F301" s="16"/>
      <c r="G301" s="37"/>
      <c r="H301" s="38" t="s">
        <v>283</v>
      </c>
    </row>
    <row r="302" spans="2:8">
      <c r="B302" s="52"/>
      <c r="C302" s="37" t="s">
        <v>374</v>
      </c>
      <c r="D302" s="16">
        <v>2</v>
      </c>
      <c r="E302" s="37" t="s">
        <v>9</v>
      </c>
      <c r="F302" s="16"/>
      <c r="G302" s="37"/>
      <c r="H302" s="38" t="s">
        <v>283</v>
      </c>
    </row>
    <row r="303" spans="2:8">
      <c r="B303" s="52"/>
      <c r="C303" s="37" t="s">
        <v>375</v>
      </c>
      <c r="D303" s="16">
        <v>1</v>
      </c>
      <c r="E303" s="37" t="s">
        <v>9</v>
      </c>
      <c r="F303" s="16"/>
      <c r="G303" s="37"/>
      <c r="H303" s="38" t="s">
        <v>283</v>
      </c>
    </row>
    <row r="304" spans="2:8">
      <c r="B304" s="52"/>
      <c r="C304" s="37" t="s">
        <v>376</v>
      </c>
      <c r="D304" s="16">
        <v>1</v>
      </c>
      <c r="E304" s="37" t="s">
        <v>9</v>
      </c>
      <c r="F304" s="16"/>
      <c r="G304" s="37"/>
      <c r="H304" s="38" t="s">
        <v>283</v>
      </c>
    </row>
    <row r="305" spans="2:8">
      <c r="B305" s="52"/>
      <c r="C305" s="37" t="s">
        <v>377</v>
      </c>
      <c r="D305" s="16">
        <v>1</v>
      </c>
      <c r="E305" s="37" t="s">
        <v>9</v>
      </c>
      <c r="F305" s="16"/>
      <c r="G305" s="37"/>
      <c r="H305" s="38" t="s">
        <v>283</v>
      </c>
    </row>
    <row r="306" spans="2:8">
      <c r="B306" s="52"/>
      <c r="C306" s="37" t="s">
        <v>378</v>
      </c>
      <c r="D306" s="16">
        <v>2</v>
      </c>
      <c r="E306" s="37" t="s">
        <v>9</v>
      </c>
      <c r="F306" s="16"/>
      <c r="G306" s="37"/>
      <c r="H306" s="38" t="s">
        <v>283</v>
      </c>
    </row>
    <row r="307" spans="2:8">
      <c r="B307" s="52"/>
      <c r="C307" s="37" t="s">
        <v>379</v>
      </c>
      <c r="D307" s="16">
        <v>7</v>
      </c>
      <c r="E307" s="37" t="s">
        <v>9</v>
      </c>
      <c r="F307" s="16"/>
      <c r="G307" s="37"/>
      <c r="H307" s="38" t="s">
        <v>283</v>
      </c>
    </row>
    <row r="308" spans="2:8">
      <c r="B308" s="52"/>
      <c r="C308" s="37" t="s">
        <v>380</v>
      </c>
      <c r="D308" s="16">
        <v>3</v>
      </c>
      <c r="E308" s="37" t="s">
        <v>9</v>
      </c>
      <c r="F308" s="16"/>
      <c r="G308" s="37"/>
      <c r="H308" s="38" t="s">
        <v>283</v>
      </c>
    </row>
    <row r="309" spans="2:8">
      <c r="B309" s="52"/>
      <c r="C309" s="37" t="s">
        <v>381</v>
      </c>
      <c r="D309" s="16">
        <v>2</v>
      </c>
      <c r="E309" s="37" t="s">
        <v>9</v>
      </c>
      <c r="F309" s="16"/>
      <c r="G309" s="37"/>
      <c r="H309" s="38" t="s">
        <v>283</v>
      </c>
    </row>
    <row r="310" spans="2:8">
      <c r="B310" s="52"/>
      <c r="C310" s="37" t="s">
        <v>382</v>
      </c>
      <c r="D310" s="16">
        <v>4</v>
      </c>
      <c r="E310" s="37" t="s">
        <v>9</v>
      </c>
      <c r="F310" s="16"/>
      <c r="G310" s="37"/>
      <c r="H310" s="38" t="s">
        <v>283</v>
      </c>
    </row>
    <row r="311" spans="2:8">
      <c r="B311" s="52"/>
      <c r="C311" s="37" t="s">
        <v>383</v>
      </c>
      <c r="D311" s="16">
        <v>4</v>
      </c>
      <c r="E311" s="37" t="s">
        <v>9</v>
      </c>
      <c r="F311" s="16"/>
      <c r="G311" s="37"/>
      <c r="H311" s="38" t="s">
        <v>283</v>
      </c>
    </row>
    <row r="312" spans="2:8">
      <c r="B312" s="52"/>
      <c r="C312" s="37" t="s">
        <v>384</v>
      </c>
      <c r="D312" s="16">
        <v>4</v>
      </c>
      <c r="E312" s="37" t="s">
        <v>9</v>
      </c>
      <c r="F312" s="16"/>
      <c r="G312" s="37"/>
      <c r="H312" s="38" t="s">
        <v>283</v>
      </c>
    </row>
    <row r="313" spans="2:8">
      <c r="B313" s="52"/>
      <c r="C313" s="37" t="s">
        <v>385</v>
      </c>
      <c r="D313" s="16">
        <v>7</v>
      </c>
      <c r="E313" s="37" t="s">
        <v>9</v>
      </c>
      <c r="F313" s="16"/>
      <c r="G313" s="37"/>
      <c r="H313" s="38" t="s">
        <v>283</v>
      </c>
    </row>
    <row r="314" spans="2:8">
      <c r="B314" s="52"/>
      <c r="C314" s="37" t="s">
        <v>386</v>
      </c>
      <c r="D314" s="16">
        <v>5</v>
      </c>
      <c r="E314" s="37" t="s">
        <v>9</v>
      </c>
      <c r="F314" s="16"/>
      <c r="G314" s="37"/>
      <c r="H314" s="38" t="s">
        <v>283</v>
      </c>
    </row>
    <row r="315" spans="2:8">
      <c r="B315" s="52"/>
      <c r="C315" s="37" t="s">
        <v>387</v>
      </c>
      <c r="D315" s="16">
        <v>2</v>
      </c>
      <c r="E315" s="37" t="s">
        <v>9</v>
      </c>
      <c r="F315" s="16"/>
      <c r="G315" s="37"/>
      <c r="H315" s="38" t="s">
        <v>283</v>
      </c>
    </row>
    <row r="316" spans="2:8">
      <c r="B316" s="52"/>
      <c r="C316" s="37" t="s">
        <v>388</v>
      </c>
      <c r="D316" s="16">
        <v>4</v>
      </c>
      <c r="E316" s="37" t="s">
        <v>9</v>
      </c>
      <c r="F316" s="16"/>
      <c r="G316" s="37"/>
      <c r="H316" s="38" t="s">
        <v>283</v>
      </c>
    </row>
    <row r="317" spans="2:8">
      <c r="B317" s="52"/>
      <c r="C317" s="37" t="s">
        <v>389</v>
      </c>
      <c r="D317" s="16">
        <v>2</v>
      </c>
      <c r="E317" s="37" t="s">
        <v>9</v>
      </c>
      <c r="F317" s="16"/>
      <c r="G317" s="37"/>
      <c r="H317" s="38" t="s">
        <v>283</v>
      </c>
    </row>
    <row r="318" spans="2:8">
      <c r="B318" s="52"/>
      <c r="C318" s="37" t="s">
        <v>390</v>
      </c>
      <c r="D318" s="16">
        <v>6</v>
      </c>
      <c r="E318" s="37" t="s">
        <v>9</v>
      </c>
      <c r="F318" s="16"/>
      <c r="G318" s="37"/>
      <c r="H318" s="38" t="s">
        <v>283</v>
      </c>
    </row>
    <row r="319" spans="2:8">
      <c r="B319" s="52"/>
      <c r="C319" s="37" t="s">
        <v>391</v>
      </c>
      <c r="D319" s="16">
        <v>2</v>
      </c>
      <c r="E319" s="37" t="s">
        <v>9</v>
      </c>
      <c r="F319" s="16"/>
      <c r="G319" s="37"/>
      <c r="H319" s="38" t="s">
        <v>283</v>
      </c>
    </row>
    <row r="320" spans="2:8">
      <c r="B320" s="52"/>
      <c r="C320" s="37" t="s">
        <v>392</v>
      </c>
      <c r="D320" s="16">
        <v>1</v>
      </c>
      <c r="E320" s="37" t="s">
        <v>9</v>
      </c>
      <c r="F320" s="16"/>
      <c r="G320" s="37"/>
      <c r="H320" s="38" t="s">
        <v>283</v>
      </c>
    </row>
    <row r="321" spans="2:8">
      <c r="B321" s="52"/>
      <c r="C321" s="37" t="s">
        <v>393</v>
      </c>
      <c r="D321" s="16">
        <v>2</v>
      </c>
      <c r="E321" s="37" t="s">
        <v>9</v>
      </c>
      <c r="F321" s="16"/>
      <c r="G321" s="37"/>
      <c r="H321" s="38" t="s">
        <v>283</v>
      </c>
    </row>
    <row r="322" spans="2:8">
      <c r="B322" s="52"/>
      <c r="C322" s="37" t="s">
        <v>394</v>
      </c>
      <c r="D322" s="16">
        <v>2</v>
      </c>
      <c r="E322" s="37" t="s">
        <v>9</v>
      </c>
      <c r="F322" s="16"/>
      <c r="G322" s="37"/>
      <c r="H322" s="38" t="s">
        <v>283</v>
      </c>
    </row>
    <row r="323" spans="2:8">
      <c r="B323" s="52"/>
      <c r="C323" s="37" t="s">
        <v>395</v>
      </c>
      <c r="D323" s="16">
        <v>1</v>
      </c>
      <c r="E323" s="37" t="s">
        <v>9</v>
      </c>
      <c r="F323" s="16"/>
      <c r="G323" s="37"/>
      <c r="H323" s="38" t="s">
        <v>283</v>
      </c>
    </row>
    <row r="324" spans="2:8">
      <c r="B324" s="52"/>
      <c r="C324" s="37" t="s">
        <v>396</v>
      </c>
      <c r="D324" s="16">
        <v>1</v>
      </c>
      <c r="E324" s="37" t="s">
        <v>9</v>
      </c>
      <c r="F324" s="16"/>
      <c r="G324" s="37"/>
      <c r="H324" s="38" t="s">
        <v>287</v>
      </c>
    </row>
    <row r="325" spans="2:8">
      <c r="B325" s="52"/>
      <c r="C325" s="37" t="s">
        <v>397</v>
      </c>
      <c r="D325" s="16">
        <v>1</v>
      </c>
      <c r="E325" s="37" t="s">
        <v>9</v>
      </c>
      <c r="F325" s="16"/>
      <c r="G325" s="37"/>
      <c r="H325" s="38" t="s">
        <v>287</v>
      </c>
    </row>
    <row r="326" spans="2:8">
      <c r="B326" s="52"/>
      <c r="C326" s="37" t="s">
        <v>398</v>
      </c>
      <c r="D326" s="16">
        <v>1</v>
      </c>
      <c r="E326" s="37" t="s">
        <v>9</v>
      </c>
      <c r="F326" s="16"/>
      <c r="G326" s="37"/>
      <c r="H326" s="38" t="s">
        <v>287</v>
      </c>
    </row>
    <row r="327" spans="2:8">
      <c r="B327" s="52"/>
      <c r="C327" s="37" t="s">
        <v>399</v>
      </c>
      <c r="D327" s="16">
        <v>2</v>
      </c>
      <c r="E327" s="37" t="s">
        <v>9</v>
      </c>
      <c r="F327" s="16"/>
      <c r="G327" s="37"/>
      <c r="H327" s="38" t="s">
        <v>287</v>
      </c>
    </row>
    <row r="328" spans="2:8">
      <c r="B328" s="52"/>
      <c r="C328" s="37" t="s">
        <v>400</v>
      </c>
      <c r="D328" s="16">
        <v>3</v>
      </c>
      <c r="E328" s="37" t="s">
        <v>9</v>
      </c>
      <c r="F328" s="16"/>
      <c r="G328" s="37"/>
      <c r="H328" s="38" t="s">
        <v>287</v>
      </c>
    </row>
    <row r="329" spans="2:8">
      <c r="B329" s="52"/>
      <c r="C329" s="37" t="s">
        <v>401</v>
      </c>
      <c r="D329" s="16">
        <v>2</v>
      </c>
      <c r="E329" s="37" t="s">
        <v>9</v>
      </c>
      <c r="F329" s="16"/>
      <c r="G329" s="37"/>
      <c r="H329" s="38" t="s">
        <v>287</v>
      </c>
    </row>
    <row r="330" spans="2:8">
      <c r="B330" s="52"/>
      <c r="C330" s="37" t="s">
        <v>402</v>
      </c>
      <c r="D330" s="16">
        <v>1</v>
      </c>
      <c r="E330" s="37" t="s">
        <v>9</v>
      </c>
      <c r="F330" s="16"/>
      <c r="G330" s="37"/>
      <c r="H330" s="38" t="s">
        <v>287</v>
      </c>
    </row>
    <row r="331" spans="2:8">
      <c r="B331" s="52"/>
      <c r="C331" s="37" t="s">
        <v>403</v>
      </c>
      <c r="D331" s="16">
        <v>1</v>
      </c>
      <c r="E331" s="37" t="s">
        <v>9</v>
      </c>
      <c r="F331" s="16"/>
      <c r="G331" s="37"/>
      <c r="H331" s="38" t="s">
        <v>287</v>
      </c>
    </row>
    <row r="332" spans="2:8">
      <c r="B332" s="52"/>
      <c r="C332" s="37" t="s">
        <v>404</v>
      </c>
      <c r="D332" s="16">
        <v>1</v>
      </c>
      <c r="E332" s="37" t="s">
        <v>9</v>
      </c>
      <c r="F332" s="16"/>
      <c r="G332" s="37"/>
      <c r="H332" s="38" t="s">
        <v>287</v>
      </c>
    </row>
    <row r="333" spans="2:8">
      <c r="B333" s="52"/>
      <c r="C333" s="37" t="s">
        <v>405</v>
      </c>
      <c r="D333" s="16">
        <v>1</v>
      </c>
      <c r="E333" s="37" t="s">
        <v>9</v>
      </c>
      <c r="F333" s="16"/>
      <c r="G333" s="37"/>
      <c r="H333" s="38" t="s">
        <v>287</v>
      </c>
    </row>
    <row r="334" spans="2:8">
      <c r="B334" s="52"/>
      <c r="C334" s="37" t="s">
        <v>406</v>
      </c>
      <c r="D334" s="16">
        <v>2</v>
      </c>
      <c r="E334" s="37" t="s">
        <v>9</v>
      </c>
      <c r="F334" s="16"/>
      <c r="G334" s="37"/>
      <c r="H334" s="38" t="s">
        <v>287</v>
      </c>
    </row>
    <row r="335" spans="2:8">
      <c r="B335" s="52"/>
      <c r="C335" s="37" t="s">
        <v>407</v>
      </c>
      <c r="D335" s="16">
        <v>1</v>
      </c>
      <c r="E335" s="37" t="s">
        <v>9</v>
      </c>
      <c r="F335" s="16"/>
      <c r="G335" s="37"/>
      <c r="H335" s="38" t="s">
        <v>287</v>
      </c>
    </row>
    <row r="336" spans="2:8">
      <c r="B336" s="53"/>
      <c r="C336" s="37" t="s">
        <v>408</v>
      </c>
      <c r="D336" s="16">
        <v>2</v>
      </c>
      <c r="E336" s="37" t="s">
        <v>9</v>
      </c>
      <c r="F336" s="16"/>
      <c r="G336" s="37"/>
      <c r="H336" s="38" t="s">
        <v>287</v>
      </c>
    </row>
    <row r="337" spans="2:8">
      <c r="B337" s="33" t="s">
        <v>409</v>
      </c>
      <c r="C337" s="34"/>
      <c r="D337" s="35"/>
      <c r="E337" s="34"/>
      <c r="F337" s="35"/>
      <c r="G337" s="34"/>
      <c r="H337" s="36"/>
    </row>
    <row r="338" spans="2:8">
      <c r="B338" s="51" t="s">
        <v>410</v>
      </c>
      <c r="C338" s="37" t="s">
        <v>411</v>
      </c>
      <c r="D338" s="16">
        <v>2</v>
      </c>
      <c r="E338" s="37" t="s">
        <v>9</v>
      </c>
      <c r="F338" s="16"/>
      <c r="G338" s="37"/>
      <c r="H338" s="38" t="s">
        <v>412</v>
      </c>
    </row>
    <row r="339" spans="2:8">
      <c r="B339" s="52" t="s">
        <v>410</v>
      </c>
      <c r="C339" s="37" t="s">
        <v>413</v>
      </c>
      <c r="D339" s="16">
        <v>5</v>
      </c>
      <c r="E339" s="37" t="s">
        <v>9</v>
      </c>
      <c r="F339" s="16"/>
      <c r="G339" s="37"/>
      <c r="H339" s="38" t="s">
        <v>412</v>
      </c>
    </row>
    <row r="340" spans="2:8">
      <c r="B340" s="52" t="s">
        <v>410</v>
      </c>
      <c r="C340" s="37" t="s">
        <v>414</v>
      </c>
      <c r="D340" s="16">
        <v>12</v>
      </c>
      <c r="E340" s="37" t="s">
        <v>9</v>
      </c>
      <c r="F340" s="16"/>
      <c r="G340" s="37"/>
      <c r="H340" s="38" t="s">
        <v>412</v>
      </c>
    </row>
    <row r="341" spans="2:8">
      <c r="B341" s="52" t="s">
        <v>410</v>
      </c>
      <c r="C341" s="37" t="s">
        <v>415</v>
      </c>
      <c r="D341" s="16">
        <v>4</v>
      </c>
      <c r="E341" s="37" t="s">
        <v>9</v>
      </c>
      <c r="F341" s="16"/>
      <c r="G341" s="37"/>
      <c r="H341" s="38" t="s">
        <v>416</v>
      </c>
    </row>
    <row r="342" spans="2:8">
      <c r="B342" s="52" t="s">
        <v>410</v>
      </c>
      <c r="C342" s="37" t="s">
        <v>417</v>
      </c>
      <c r="D342" s="16">
        <v>2</v>
      </c>
      <c r="E342" s="37" t="s">
        <v>9</v>
      </c>
      <c r="F342" s="16"/>
      <c r="G342" s="37"/>
      <c r="H342" s="38" t="s">
        <v>416</v>
      </c>
    </row>
    <row r="343" spans="2:8">
      <c r="B343" s="52" t="s">
        <v>410</v>
      </c>
      <c r="C343" s="37" t="s">
        <v>418</v>
      </c>
      <c r="D343" s="16">
        <v>5</v>
      </c>
      <c r="E343" s="37" t="s">
        <v>9</v>
      </c>
      <c r="F343" s="16"/>
      <c r="G343" s="37"/>
      <c r="H343" s="38" t="s">
        <v>416</v>
      </c>
    </row>
    <row r="344" spans="2:8">
      <c r="B344" s="39" t="s">
        <v>419</v>
      </c>
      <c r="C344" s="37" t="s">
        <v>419</v>
      </c>
      <c r="D344" s="16">
        <v>6</v>
      </c>
      <c r="E344" s="37" t="s">
        <v>9</v>
      </c>
      <c r="F344" s="16"/>
      <c r="G344" s="37"/>
      <c r="H344" s="38" t="s">
        <v>128</v>
      </c>
    </row>
    <row r="345" spans="2:8">
      <c r="B345" s="39" t="s">
        <v>420</v>
      </c>
      <c r="C345" s="37" t="s">
        <v>421</v>
      </c>
      <c r="D345" s="16">
        <v>5</v>
      </c>
      <c r="E345" s="37" t="s">
        <v>9</v>
      </c>
      <c r="F345" s="16"/>
      <c r="G345" s="37"/>
      <c r="H345" s="38" t="s">
        <v>128</v>
      </c>
    </row>
    <row r="346" spans="2:8">
      <c r="B346" s="33" t="s">
        <v>422</v>
      </c>
      <c r="C346" s="34"/>
      <c r="D346" s="35"/>
      <c r="E346" s="34"/>
      <c r="F346" s="35"/>
      <c r="G346" s="34"/>
      <c r="H346" s="36"/>
    </row>
    <row r="347" spans="2:8">
      <c r="B347" s="51" t="s">
        <v>423</v>
      </c>
      <c r="C347" s="37" t="s">
        <v>424</v>
      </c>
      <c r="D347" s="16">
        <v>32</v>
      </c>
      <c r="E347" s="37" t="s">
        <v>9</v>
      </c>
      <c r="F347" s="16"/>
      <c r="G347" s="37"/>
      <c r="H347" s="38" t="s">
        <v>425</v>
      </c>
    </row>
    <row r="348" spans="2:8">
      <c r="B348" s="52" t="s">
        <v>423</v>
      </c>
      <c r="C348" s="37" t="s">
        <v>426</v>
      </c>
      <c r="D348" s="16">
        <v>2</v>
      </c>
      <c r="E348" s="37" t="s">
        <v>9</v>
      </c>
      <c r="F348" s="16"/>
      <c r="G348" s="37"/>
      <c r="H348" s="38" t="s">
        <v>425</v>
      </c>
    </row>
    <row r="349" spans="2:8">
      <c r="B349" s="52" t="s">
        <v>423</v>
      </c>
      <c r="C349" s="37" t="s">
        <v>427</v>
      </c>
      <c r="D349" s="16">
        <v>1</v>
      </c>
      <c r="E349" s="37" t="s">
        <v>9</v>
      </c>
      <c r="F349" s="16"/>
      <c r="G349" s="37"/>
      <c r="H349" s="38" t="s">
        <v>425</v>
      </c>
    </row>
    <row r="350" spans="2:8">
      <c r="B350" s="52" t="s">
        <v>423</v>
      </c>
      <c r="C350" s="37" t="s">
        <v>428</v>
      </c>
      <c r="D350" s="16">
        <v>1</v>
      </c>
      <c r="E350" s="37" t="s">
        <v>9</v>
      </c>
      <c r="F350" s="16"/>
      <c r="G350" s="37"/>
      <c r="H350" s="38" t="s">
        <v>425</v>
      </c>
    </row>
    <row r="351" spans="2:8">
      <c r="B351" s="52" t="s">
        <v>423</v>
      </c>
      <c r="C351" s="37" t="s">
        <v>429</v>
      </c>
      <c r="D351" s="16">
        <v>18</v>
      </c>
      <c r="E351" s="37" t="s">
        <v>9</v>
      </c>
      <c r="F351" s="16"/>
      <c r="G351" s="37"/>
      <c r="H351" s="38" t="s">
        <v>425</v>
      </c>
    </row>
    <row r="352" spans="2:8">
      <c r="B352" s="52" t="s">
        <v>423</v>
      </c>
      <c r="C352" s="37" t="s">
        <v>430</v>
      </c>
      <c r="D352" s="16">
        <v>9</v>
      </c>
      <c r="E352" s="37" t="s">
        <v>9</v>
      </c>
      <c r="F352" s="16"/>
      <c r="G352" s="37"/>
      <c r="H352" s="38" t="s">
        <v>425</v>
      </c>
    </row>
    <row r="353" spans="2:8">
      <c r="B353" s="52" t="s">
        <v>423</v>
      </c>
      <c r="C353" s="37" t="s">
        <v>431</v>
      </c>
      <c r="D353" s="16">
        <v>1</v>
      </c>
      <c r="E353" s="37" t="s">
        <v>9</v>
      </c>
      <c r="F353" s="16"/>
      <c r="G353" s="37"/>
      <c r="H353" s="38" t="s">
        <v>425</v>
      </c>
    </row>
    <row r="354" spans="2:8">
      <c r="B354" s="52" t="s">
        <v>423</v>
      </c>
      <c r="C354" s="37" t="s">
        <v>432</v>
      </c>
      <c r="D354" s="16">
        <v>1</v>
      </c>
      <c r="E354" s="37" t="s">
        <v>9</v>
      </c>
      <c r="F354" s="16"/>
      <c r="G354" s="37"/>
      <c r="H354" s="38" t="s">
        <v>425</v>
      </c>
    </row>
    <row r="355" spans="2:8">
      <c r="B355" s="52" t="s">
        <v>423</v>
      </c>
      <c r="C355" s="37" t="s">
        <v>433</v>
      </c>
      <c r="D355" s="16">
        <v>2</v>
      </c>
      <c r="E355" s="37" t="s">
        <v>9</v>
      </c>
      <c r="F355" s="16"/>
      <c r="G355" s="37"/>
      <c r="H355" s="38" t="s">
        <v>425</v>
      </c>
    </row>
    <row r="356" spans="2:8">
      <c r="B356" s="52" t="s">
        <v>423</v>
      </c>
      <c r="C356" s="37" t="s">
        <v>434</v>
      </c>
      <c r="D356" s="16">
        <v>1</v>
      </c>
      <c r="E356" s="37" t="s">
        <v>9</v>
      </c>
      <c r="F356" s="16"/>
      <c r="G356" s="37"/>
      <c r="H356" s="38" t="s">
        <v>425</v>
      </c>
    </row>
    <row r="357" spans="2:8">
      <c r="B357" s="52" t="s">
        <v>423</v>
      </c>
      <c r="C357" s="37" t="s">
        <v>435</v>
      </c>
      <c r="D357" s="16">
        <v>3</v>
      </c>
      <c r="E357" s="37" t="s">
        <v>9</v>
      </c>
      <c r="F357" s="16"/>
      <c r="G357" s="37"/>
      <c r="H357" s="38" t="s">
        <v>425</v>
      </c>
    </row>
    <row r="358" spans="2:8">
      <c r="B358" s="52" t="s">
        <v>423</v>
      </c>
      <c r="C358" s="37" t="s">
        <v>436</v>
      </c>
      <c r="D358" s="16">
        <v>2</v>
      </c>
      <c r="E358" s="37" t="s">
        <v>9</v>
      </c>
      <c r="F358" s="16"/>
      <c r="G358" s="37"/>
      <c r="H358" s="38" t="s">
        <v>425</v>
      </c>
    </row>
    <row r="359" spans="2:8">
      <c r="B359" s="52" t="s">
        <v>423</v>
      </c>
      <c r="C359" s="37" t="s">
        <v>437</v>
      </c>
      <c r="D359" s="16">
        <v>2</v>
      </c>
      <c r="E359" s="37" t="s">
        <v>9</v>
      </c>
      <c r="F359" s="16"/>
      <c r="G359" s="37"/>
      <c r="H359" s="38" t="s">
        <v>425</v>
      </c>
    </row>
    <row r="360" spans="2:8">
      <c r="B360" s="51" t="s">
        <v>438</v>
      </c>
      <c r="C360" s="37" t="s">
        <v>439</v>
      </c>
      <c r="D360" s="16">
        <v>1</v>
      </c>
      <c r="E360" s="37" t="s">
        <v>9</v>
      </c>
      <c r="F360" s="16"/>
      <c r="G360" s="37"/>
      <c r="H360" s="38" t="s">
        <v>425</v>
      </c>
    </row>
    <row r="361" spans="2:8">
      <c r="B361" s="52" t="s">
        <v>438</v>
      </c>
      <c r="C361" s="37" t="s">
        <v>440</v>
      </c>
      <c r="D361" s="16">
        <v>1</v>
      </c>
      <c r="E361" s="37" t="s">
        <v>9</v>
      </c>
      <c r="F361" s="16"/>
      <c r="G361" s="37"/>
      <c r="H361" s="38" t="s">
        <v>425</v>
      </c>
    </row>
    <row r="362" spans="2:8">
      <c r="B362" s="52" t="s">
        <v>438</v>
      </c>
      <c r="C362" s="37" t="s">
        <v>441</v>
      </c>
      <c r="D362" s="16">
        <v>1</v>
      </c>
      <c r="E362" s="37" t="s">
        <v>9</v>
      </c>
      <c r="F362" s="16"/>
      <c r="G362" s="37"/>
      <c r="H362" s="38" t="s">
        <v>425</v>
      </c>
    </row>
    <row r="363" spans="2:8">
      <c r="B363" s="52" t="s">
        <v>438</v>
      </c>
      <c r="C363" s="37" t="s">
        <v>442</v>
      </c>
      <c r="D363" s="16">
        <v>1</v>
      </c>
      <c r="E363" s="37" t="s">
        <v>9</v>
      </c>
      <c r="F363" s="16"/>
      <c r="G363" s="37"/>
      <c r="H363" s="38" t="s">
        <v>425</v>
      </c>
    </row>
    <row r="364" spans="2:8">
      <c r="B364" s="52" t="s">
        <v>438</v>
      </c>
      <c r="C364" s="37" t="s">
        <v>443</v>
      </c>
      <c r="D364" s="16">
        <v>1</v>
      </c>
      <c r="E364" s="37" t="s">
        <v>9</v>
      </c>
      <c r="F364" s="16"/>
      <c r="G364" s="37"/>
      <c r="H364" s="38" t="s">
        <v>425</v>
      </c>
    </row>
    <row r="365" spans="2:8">
      <c r="B365" s="52" t="s">
        <v>438</v>
      </c>
      <c r="C365" s="37" t="s">
        <v>444</v>
      </c>
      <c r="D365" s="16">
        <v>1</v>
      </c>
      <c r="E365" s="37" t="s">
        <v>9</v>
      </c>
      <c r="F365" s="16"/>
      <c r="G365" s="37"/>
      <c r="H365" s="38" t="s">
        <v>425</v>
      </c>
    </row>
    <row r="366" spans="2:8">
      <c r="B366" s="51" t="s">
        <v>445</v>
      </c>
      <c r="C366" s="37" t="s">
        <v>446</v>
      </c>
      <c r="D366" s="16">
        <v>1</v>
      </c>
      <c r="E366" s="37" t="s">
        <v>9</v>
      </c>
      <c r="F366" s="16"/>
      <c r="G366" s="37"/>
      <c r="H366" s="38" t="s">
        <v>425</v>
      </c>
    </row>
    <row r="367" spans="2:8">
      <c r="B367" s="52" t="s">
        <v>445</v>
      </c>
      <c r="C367" s="37" t="s">
        <v>447</v>
      </c>
      <c r="D367" s="16">
        <v>1</v>
      </c>
      <c r="E367" s="37" t="s">
        <v>9</v>
      </c>
      <c r="F367" s="16"/>
      <c r="G367" s="37"/>
      <c r="H367" s="38" t="s">
        <v>425</v>
      </c>
    </row>
    <row r="368" spans="2:8">
      <c r="B368" s="52" t="s">
        <v>445</v>
      </c>
      <c r="C368" s="37" t="s">
        <v>448</v>
      </c>
      <c r="D368" s="16">
        <v>1</v>
      </c>
      <c r="E368" s="37" t="s">
        <v>9</v>
      </c>
      <c r="F368" s="16"/>
      <c r="G368" s="37"/>
      <c r="H368" s="38" t="s">
        <v>425</v>
      </c>
    </row>
    <row r="369" spans="2:8">
      <c r="B369" s="52" t="s">
        <v>445</v>
      </c>
      <c r="C369" s="37" t="s">
        <v>449</v>
      </c>
      <c r="D369" s="16">
        <v>1</v>
      </c>
      <c r="E369" s="37" t="s">
        <v>9</v>
      </c>
      <c r="F369" s="16"/>
      <c r="G369" s="37"/>
      <c r="H369" s="38" t="s">
        <v>425</v>
      </c>
    </row>
    <row r="370" spans="2:8">
      <c r="B370" s="39" t="s">
        <v>450</v>
      </c>
      <c r="C370" s="37" t="s">
        <v>450</v>
      </c>
      <c r="D370" s="16">
        <v>5</v>
      </c>
      <c r="E370" s="37" t="s">
        <v>9</v>
      </c>
      <c r="F370" s="16"/>
      <c r="G370" s="37"/>
      <c r="H370" s="38" t="s">
        <v>425</v>
      </c>
    </row>
    <row r="371" spans="2:8">
      <c r="B371" s="51" t="s">
        <v>451</v>
      </c>
      <c r="C371" s="37" t="s">
        <v>452</v>
      </c>
      <c r="D371" s="16">
        <v>1</v>
      </c>
      <c r="E371" s="37" t="s">
        <v>9</v>
      </c>
      <c r="F371" s="16"/>
      <c r="G371" s="37"/>
      <c r="H371" s="38" t="s">
        <v>425</v>
      </c>
    </row>
    <row r="372" spans="2:8">
      <c r="B372" s="52" t="s">
        <v>451</v>
      </c>
      <c r="C372" s="37" t="s">
        <v>453</v>
      </c>
      <c r="D372" s="16">
        <v>1</v>
      </c>
      <c r="E372" s="37" t="s">
        <v>9</v>
      </c>
      <c r="F372" s="16"/>
      <c r="G372" s="37"/>
      <c r="H372" s="38" t="s">
        <v>425</v>
      </c>
    </row>
    <row r="373" spans="2:8">
      <c r="B373" s="52" t="s">
        <v>451</v>
      </c>
      <c r="C373" s="37" t="s">
        <v>454</v>
      </c>
      <c r="D373" s="16">
        <v>1</v>
      </c>
      <c r="E373" s="37" t="s">
        <v>9</v>
      </c>
      <c r="F373" s="16"/>
      <c r="G373" s="37"/>
      <c r="H373" s="38" t="s">
        <v>425</v>
      </c>
    </row>
    <row r="374" spans="2:8">
      <c r="B374" s="52" t="s">
        <v>451</v>
      </c>
      <c r="C374" s="37" t="s">
        <v>455</v>
      </c>
      <c r="D374" s="16">
        <v>1</v>
      </c>
      <c r="E374" s="37" t="s">
        <v>9</v>
      </c>
      <c r="F374" s="16"/>
      <c r="G374" s="37"/>
      <c r="H374" s="38" t="s">
        <v>425</v>
      </c>
    </row>
    <row r="375" spans="2:8">
      <c r="B375" s="39" t="s">
        <v>456</v>
      </c>
      <c r="C375" s="37" t="s">
        <v>457</v>
      </c>
      <c r="D375" s="16">
        <v>22</v>
      </c>
      <c r="E375" s="37" t="s">
        <v>9</v>
      </c>
      <c r="F375" s="16"/>
      <c r="G375" s="37"/>
      <c r="H375" s="38" t="s">
        <v>425</v>
      </c>
    </row>
    <row r="376" spans="2:8">
      <c r="B376" s="33" t="s">
        <v>458</v>
      </c>
      <c r="C376" s="34"/>
      <c r="D376" s="35"/>
      <c r="E376" s="34"/>
      <c r="F376" s="35"/>
      <c r="G376" s="34"/>
      <c r="H376" s="36"/>
    </row>
    <row r="377" spans="2:8">
      <c r="B377" s="51" t="s">
        <v>459</v>
      </c>
      <c r="C377" s="37" t="s">
        <v>460</v>
      </c>
      <c r="D377" s="16">
        <v>448.61</v>
      </c>
      <c r="E377" s="37" t="s">
        <v>18</v>
      </c>
      <c r="F377" s="16"/>
      <c r="G377" s="37"/>
      <c r="H377" s="38" t="s">
        <v>461</v>
      </c>
    </row>
    <row r="378" spans="2:8">
      <c r="B378" s="52" t="s">
        <v>459</v>
      </c>
      <c r="C378" s="37" t="s">
        <v>462</v>
      </c>
      <c r="D378" s="16">
        <v>2125.42</v>
      </c>
      <c r="E378" s="37" t="s">
        <v>18</v>
      </c>
      <c r="F378" s="16"/>
      <c r="G378" s="37"/>
      <c r="H378" s="38" t="s">
        <v>463</v>
      </c>
    </row>
    <row r="379" spans="2:8">
      <c r="B379" s="52" t="s">
        <v>459</v>
      </c>
      <c r="C379" s="37" t="s">
        <v>464</v>
      </c>
      <c r="D379" s="16">
        <v>496.09</v>
      </c>
      <c r="E379" s="37" t="s">
        <v>18</v>
      </c>
      <c r="F379" s="16"/>
      <c r="G379" s="37"/>
      <c r="H379" s="38" t="s">
        <v>465</v>
      </c>
    </row>
    <row r="380" spans="2:8">
      <c r="B380" s="52" t="s">
        <v>459</v>
      </c>
      <c r="C380" s="37" t="s">
        <v>466</v>
      </c>
      <c r="D380" s="16">
        <v>1509.46</v>
      </c>
      <c r="E380" s="37" t="s">
        <v>18</v>
      </c>
      <c r="F380" s="16"/>
      <c r="G380" s="37"/>
      <c r="H380" s="38" t="s">
        <v>461</v>
      </c>
    </row>
    <row r="381" spans="2:8">
      <c r="B381" s="52" t="s">
        <v>459</v>
      </c>
      <c r="C381" s="37" t="s">
        <v>467</v>
      </c>
      <c r="D381" s="16">
        <v>2643.19</v>
      </c>
      <c r="E381" s="37" t="s">
        <v>18</v>
      </c>
      <c r="F381" s="16"/>
      <c r="G381" s="37"/>
      <c r="H381" s="38" t="s">
        <v>465</v>
      </c>
    </row>
    <row r="382" spans="2:8">
      <c r="B382" s="52" t="s">
        <v>459</v>
      </c>
      <c r="C382" s="37" t="s">
        <v>468</v>
      </c>
      <c r="D382" s="16">
        <v>1218.19</v>
      </c>
      <c r="E382" s="37" t="s">
        <v>18</v>
      </c>
      <c r="F382" s="16"/>
      <c r="G382" s="37"/>
      <c r="H382" s="38" t="s">
        <v>465</v>
      </c>
    </row>
    <row r="383" spans="2:8">
      <c r="B383" s="52" t="s">
        <v>459</v>
      </c>
      <c r="C383" s="37" t="s">
        <v>459</v>
      </c>
      <c r="D383" s="16">
        <v>751.75</v>
      </c>
      <c r="E383" s="37" t="s">
        <v>18</v>
      </c>
      <c r="F383" s="16"/>
      <c r="G383" s="37"/>
      <c r="H383" s="38" t="s">
        <v>469</v>
      </c>
    </row>
    <row r="384" spans="2:8">
      <c r="B384" s="52" t="s">
        <v>459</v>
      </c>
      <c r="C384" s="37" t="s">
        <v>470</v>
      </c>
      <c r="D384" s="16">
        <v>74.55</v>
      </c>
      <c r="E384" s="37" t="s">
        <v>18</v>
      </c>
      <c r="F384" s="16"/>
      <c r="G384" s="37"/>
      <c r="H384" s="38" t="s">
        <v>471</v>
      </c>
    </row>
    <row r="385" spans="2:8">
      <c r="B385" s="39" t="s">
        <v>472</v>
      </c>
      <c r="C385" s="37" t="s">
        <v>473</v>
      </c>
      <c r="D385" s="16">
        <v>32</v>
      </c>
      <c r="E385" s="37" t="s">
        <v>9</v>
      </c>
      <c r="F385" s="16"/>
      <c r="G385" s="37"/>
      <c r="H385" s="38" t="s">
        <v>469</v>
      </c>
    </row>
    <row r="386" spans="2:8">
      <c r="B386" s="39" t="s">
        <v>474</v>
      </c>
      <c r="C386" s="37" t="s">
        <v>474</v>
      </c>
      <c r="D386" s="16">
        <v>5</v>
      </c>
      <c r="E386" s="37" t="s">
        <v>9</v>
      </c>
      <c r="F386" s="16"/>
      <c r="G386" s="37"/>
      <c r="H386" s="38" t="s">
        <v>471</v>
      </c>
    </row>
    <row r="387" spans="2:8">
      <c r="B387" s="39" t="s">
        <v>475</v>
      </c>
      <c r="C387" s="37" t="s">
        <v>475</v>
      </c>
      <c r="D387" s="16">
        <v>21</v>
      </c>
      <c r="E387" s="37" t="s">
        <v>9</v>
      </c>
      <c r="F387" s="16"/>
      <c r="G387" s="37"/>
      <c r="H387" s="38" t="s">
        <v>471</v>
      </c>
    </row>
    <row r="388" spans="2:8">
      <c r="B388" s="39" t="s">
        <v>476</v>
      </c>
      <c r="C388" s="37" t="s">
        <v>476</v>
      </c>
      <c r="D388" s="16">
        <v>16</v>
      </c>
      <c r="E388" s="37" t="s">
        <v>9</v>
      </c>
      <c r="F388" s="16"/>
      <c r="G388" s="37"/>
      <c r="H388" s="38" t="s">
        <v>471</v>
      </c>
    </row>
    <row r="389" spans="2:8">
      <c r="B389" s="39" t="s">
        <v>477</v>
      </c>
      <c r="C389" s="37" t="s">
        <v>477</v>
      </c>
      <c r="D389" s="16">
        <v>13</v>
      </c>
      <c r="E389" s="37" t="s">
        <v>9</v>
      </c>
      <c r="F389" s="16"/>
      <c r="G389" s="37"/>
      <c r="H389" s="38" t="s">
        <v>461</v>
      </c>
    </row>
    <row r="390" spans="2:8">
      <c r="B390" s="51" t="s">
        <v>478</v>
      </c>
      <c r="C390" s="37" t="s">
        <v>478</v>
      </c>
      <c r="D390" s="16">
        <v>66</v>
      </c>
      <c r="E390" s="37" t="s">
        <v>9</v>
      </c>
      <c r="F390" s="16"/>
      <c r="G390" s="37"/>
      <c r="H390" s="38" t="s">
        <v>465</v>
      </c>
    </row>
    <row r="391" spans="2:8">
      <c r="B391" s="52" t="s">
        <v>478</v>
      </c>
      <c r="C391" s="37" t="s">
        <v>479</v>
      </c>
      <c r="D391" s="16">
        <v>2</v>
      </c>
      <c r="E391" s="37" t="s">
        <v>9</v>
      </c>
      <c r="F391" s="16"/>
      <c r="G391" s="37"/>
      <c r="H391" s="38" t="s">
        <v>471</v>
      </c>
    </row>
    <row r="392" spans="2:8">
      <c r="B392" s="39" t="s">
        <v>480</v>
      </c>
      <c r="C392" s="37" t="s">
        <v>481</v>
      </c>
      <c r="D392" s="16">
        <v>2</v>
      </c>
      <c r="E392" s="37" t="s">
        <v>9</v>
      </c>
      <c r="F392" s="16"/>
      <c r="G392" s="37"/>
      <c r="H392" s="38" t="s">
        <v>461</v>
      </c>
    </row>
    <row r="393" spans="2:8">
      <c r="B393" s="39" t="s">
        <v>482</v>
      </c>
      <c r="C393" s="37" t="s">
        <v>482</v>
      </c>
      <c r="D393" s="16">
        <v>9</v>
      </c>
      <c r="E393" s="37" t="s">
        <v>9</v>
      </c>
      <c r="F393" s="16"/>
      <c r="G393" s="37"/>
      <c r="H393" s="38" t="s">
        <v>463</v>
      </c>
    </row>
    <row r="394" spans="2:8">
      <c r="B394" s="51" t="s">
        <v>483</v>
      </c>
      <c r="C394" s="37" t="s">
        <v>484</v>
      </c>
      <c r="D394" s="16">
        <v>1</v>
      </c>
      <c r="E394" s="37" t="s">
        <v>9</v>
      </c>
      <c r="F394" s="16"/>
      <c r="G394" s="37"/>
      <c r="H394" s="38" t="s">
        <v>485</v>
      </c>
    </row>
    <row r="395" spans="2:8">
      <c r="B395" s="52" t="s">
        <v>483</v>
      </c>
      <c r="C395" s="37" t="s">
        <v>486</v>
      </c>
      <c r="D395" s="16">
        <v>1</v>
      </c>
      <c r="E395" s="37" t="s">
        <v>9</v>
      </c>
      <c r="F395" s="16"/>
      <c r="G395" s="37"/>
      <c r="H395" s="38" t="s">
        <v>485</v>
      </c>
    </row>
    <row r="396" spans="2:8">
      <c r="B396" s="52" t="s">
        <v>483</v>
      </c>
      <c r="C396" s="37" t="s">
        <v>487</v>
      </c>
      <c r="D396" s="16">
        <v>1</v>
      </c>
      <c r="E396" s="37" t="s">
        <v>9</v>
      </c>
      <c r="F396" s="16"/>
      <c r="G396" s="37"/>
      <c r="H396" s="38" t="s">
        <v>485</v>
      </c>
    </row>
    <row r="397" spans="2:8">
      <c r="B397" s="52" t="s">
        <v>483</v>
      </c>
      <c r="C397" s="37" t="s">
        <v>488</v>
      </c>
      <c r="D397" s="16">
        <v>1</v>
      </c>
      <c r="E397" s="37" t="s">
        <v>9</v>
      </c>
      <c r="F397" s="16"/>
      <c r="G397" s="37"/>
      <c r="H397" s="38" t="s">
        <v>485</v>
      </c>
    </row>
    <row r="398" spans="2:8">
      <c r="B398" s="52" t="s">
        <v>483</v>
      </c>
      <c r="C398" s="37" t="s">
        <v>489</v>
      </c>
      <c r="D398" s="16">
        <v>1</v>
      </c>
      <c r="E398" s="37" t="s">
        <v>9</v>
      </c>
      <c r="F398" s="16"/>
      <c r="G398" s="37"/>
      <c r="H398" s="38" t="s">
        <v>485</v>
      </c>
    </row>
    <row r="399" spans="2:8">
      <c r="B399" s="52" t="s">
        <v>483</v>
      </c>
      <c r="C399" s="37" t="s">
        <v>490</v>
      </c>
      <c r="D399" s="16">
        <v>1</v>
      </c>
      <c r="E399" s="37" t="s">
        <v>9</v>
      </c>
      <c r="F399" s="16"/>
      <c r="G399" s="37"/>
      <c r="H399" s="38" t="s">
        <v>485</v>
      </c>
    </row>
    <row r="400" spans="2:8">
      <c r="B400" s="52" t="s">
        <v>483</v>
      </c>
      <c r="C400" s="37" t="s">
        <v>491</v>
      </c>
      <c r="D400" s="16">
        <v>1</v>
      </c>
      <c r="E400" s="37" t="s">
        <v>9</v>
      </c>
      <c r="F400" s="16"/>
      <c r="G400" s="37"/>
      <c r="H400" s="38" t="s">
        <v>485</v>
      </c>
    </row>
    <row r="401" spans="2:8">
      <c r="B401" s="52" t="s">
        <v>483</v>
      </c>
      <c r="C401" s="37" t="s">
        <v>492</v>
      </c>
      <c r="D401" s="16">
        <v>1</v>
      </c>
      <c r="E401" s="37" t="s">
        <v>9</v>
      </c>
      <c r="F401" s="16"/>
      <c r="G401" s="37"/>
      <c r="H401" s="38" t="s">
        <v>485</v>
      </c>
    </row>
    <row r="402" spans="2:8">
      <c r="B402" s="52" t="s">
        <v>483</v>
      </c>
      <c r="C402" s="37" t="s">
        <v>493</v>
      </c>
      <c r="D402" s="16">
        <v>1</v>
      </c>
      <c r="E402" s="37" t="s">
        <v>9</v>
      </c>
      <c r="F402" s="16"/>
      <c r="G402" s="37"/>
      <c r="H402" s="38" t="s">
        <v>485</v>
      </c>
    </row>
    <row r="403" spans="2:8">
      <c r="B403" s="52" t="s">
        <v>483</v>
      </c>
      <c r="C403" s="37" t="s">
        <v>494</v>
      </c>
      <c r="D403" s="16">
        <v>1</v>
      </c>
      <c r="E403" s="37" t="s">
        <v>9</v>
      </c>
      <c r="F403" s="16"/>
      <c r="G403" s="37"/>
      <c r="H403" s="38" t="s">
        <v>485</v>
      </c>
    </row>
    <row r="404" spans="2:8">
      <c r="B404" s="52" t="s">
        <v>483</v>
      </c>
      <c r="C404" s="37" t="s">
        <v>495</v>
      </c>
      <c r="D404" s="16">
        <v>1</v>
      </c>
      <c r="E404" s="37" t="s">
        <v>9</v>
      </c>
      <c r="F404" s="16"/>
      <c r="G404" s="37"/>
      <c r="H404" s="38" t="s">
        <v>485</v>
      </c>
    </row>
    <row r="405" spans="2:8">
      <c r="B405" s="52" t="s">
        <v>483</v>
      </c>
      <c r="C405" s="37" t="s">
        <v>496</v>
      </c>
      <c r="D405" s="16">
        <v>1</v>
      </c>
      <c r="E405" s="37" t="s">
        <v>9</v>
      </c>
      <c r="F405" s="16"/>
      <c r="G405" s="37"/>
      <c r="H405" s="38" t="s">
        <v>485</v>
      </c>
    </row>
    <row r="406" spans="2:8">
      <c r="B406" s="52" t="s">
        <v>483</v>
      </c>
      <c r="C406" s="37" t="s">
        <v>497</v>
      </c>
      <c r="D406" s="16">
        <v>1</v>
      </c>
      <c r="E406" s="37" t="s">
        <v>9</v>
      </c>
      <c r="F406" s="16"/>
      <c r="G406" s="37"/>
      <c r="H406" s="38" t="s">
        <v>485</v>
      </c>
    </row>
    <row r="407" spans="2:8">
      <c r="B407" s="52" t="s">
        <v>483</v>
      </c>
      <c r="C407" s="37" t="s">
        <v>498</v>
      </c>
      <c r="D407" s="16">
        <v>1</v>
      </c>
      <c r="E407" s="37" t="s">
        <v>9</v>
      </c>
      <c r="F407" s="16"/>
      <c r="G407" s="37"/>
      <c r="H407" s="38" t="s">
        <v>485</v>
      </c>
    </row>
    <row r="408" spans="2:8">
      <c r="B408" s="51" t="s">
        <v>499</v>
      </c>
      <c r="C408" s="37" t="s">
        <v>500</v>
      </c>
      <c r="D408" s="16">
        <v>19</v>
      </c>
      <c r="E408" s="37" t="s">
        <v>9</v>
      </c>
      <c r="F408" s="16"/>
      <c r="G408" s="37"/>
      <c r="H408" s="38" t="s">
        <v>471</v>
      </c>
    </row>
    <row r="409" spans="2:8">
      <c r="B409" s="52" t="s">
        <v>499</v>
      </c>
      <c r="C409" s="37" t="s">
        <v>501</v>
      </c>
      <c r="D409" s="16">
        <v>96</v>
      </c>
      <c r="E409" s="37" t="s">
        <v>9</v>
      </c>
      <c r="F409" s="16"/>
      <c r="G409" s="37"/>
      <c r="H409" s="38" t="s">
        <v>465</v>
      </c>
    </row>
    <row r="410" spans="2:8">
      <c r="B410" s="52" t="s">
        <v>499</v>
      </c>
      <c r="C410" s="37" t="s">
        <v>502</v>
      </c>
      <c r="D410" s="16">
        <v>5</v>
      </c>
      <c r="E410" s="37" t="s">
        <v>9</v>
      </c>
      <c r="F410" s="16"/>
      <c r="G410" s="37"/>
      <c r="H410" s="38" t="s">
        <v>503</v>
      </c>
    </row>
    <row r="411" spans="2:8">
      <c r="B411" s="52" t="s">
        <v>499</v>
      </c>
      <c r="C411" s="37" t="s">
        <v>504</v>
      </c>
      <c r="D411" s="16">
        <v>12</v>
      </c>
      <c r="E411" s="37" t="s">
        <v>9</v>
      </c>
      <c r="F411" s="16"/>
      <c r="G411" s="37"/>
      <c r="H411" s="38" t="s">
        <v>471</v>
      </c>
    </row>
    <row r="412" spans="2:8">
      <c r="B412" s="52" t="s">
        <v>499</v>
      </c>
      <c r="C412" s="37" t="s">
        <v>499</v>
      </c>
      <c r="D412" s="16">
        <v>3</v>
      </c>
      <c r="E412" s="37" t="s">
        <v>9</v>
      </c>
      <c r="F412" s="16"/>
      <c r="G412" s="37"/>
      <c r="H412" s="38" t="s">
        <v>505</v>
      </c>
    </row>
    <row r="413" spans="2:8">
      <c r="B413" s="39" t="s">
        <v>506</v>
      </c>
      <c r="C413" s="37" t="s">
        <v>507</v>
      </c>
      <c r="D413" s="16">
        <v>10</v>
      </c>
      <c r="E413" s="37" t="s">
        <v>9</v>
      </c>
      <c r="F413" s="16"/>
      <c r="G413" s="37"/>
      <c r="H413" s="38" t="s">
        <v>503</v>
      </c>
    </row>
    <row r="414" spans="2:8">
      <c r="B414" s="39" t="s">
        <v>508</v>
      </c>
      <c r="C414" s="37" t="s">
        <v>508</v>
      </c>
      <c r="D414" s="16">
        <v>1</v>
      </c>
      <c r="E414" s="37" t="s">
        <v>9</v>
      </c>
      <c r="F414" s="16"/>
      <c r="G414" s="37"/>
      <c r="H414" s="38" t="s">
        <v>485</v>
      </c>
    </row>
    <row r="415" spans="2:8">
      <c r="B415" s="51" t="s">
        <v>509</v>
      </c>
      <c r="C415" s="37" t="s">
        <v>476</v>
      </c>
      <c r="D415" s="16">
        <v>16</v>
      </c>
      <c r="E415" s="37" t="s">
        <v>9</v>
      </c>
      <c r="F415" s="16"/>
      <c r="G415" s="37"/>
      <c r="H415" s="38" t="s">
        <v>503</v>
      </c>
    </row>
    <row r="416" spans="2:8">
      <c r="B416" s="52" t="s">
        <v>509</v>
      </c>
      <c r="C416" s="37" t="s">
        <v>510</v>
      </c>
      <c r="D416" s="16">
        <v>7</v>
      </c>
      <c r="E416" s="37" t="s">
        <v>9</v>
      </c>
      <c r="F416" s="16"/>
      <c r="G416" s="37"/>
      <c r="H416" s="38" t="s">
        <v>503</v>
      </c>
    </row>
    <row r="417" spans="2:8">
      <c r="B417" s="52" t="s">
        <v>509</v>
      </c>
      <c r="C417" s="37" t="s">
        <v>511</v>
      </c>
      <c r="D417" s="16">
        <v>7</v>
      </c>
      <c r="E417" s="37" t="s">
        <v>9</v>
      </c>
      <c r="F417" s="16"/>
      <c r="G417" s="37"/>
      <c r="H417" s="38" t="s">
        <v>463</v>
      </c>
    </row>
    <row r="418" spans="2:8">
      <c r="B418" s="52" t="s">
        <v>509</v>
      </c>
      <c r="C418" s="37" t="s">
        <v>512</v>
      </c>
      <c r="D418" s="16">
        <v>15</v>
      </c>
      <c r="E418" s="37" t="s">
        <v>9</v>
      </c>
      <c r="F418" s="16"/>
      <c r="G418" s="37"/>
      <c r="H418" s="38" t="s">
        <v>465</v>
      </c>
    </row>
    <row r="419" spans="2:8" s="26" customFormat="1">
      <c r="B419" s="51" t="s">
        <v>513</v>
      </c>
      <c r="C419" s="40" t="s">
        <v>514</v>
      </c>
      <c r="D419" s="41">
        <v>3</v>
      </c>
      <c r="E419" s="40" t="s">
        <v>9</v>
      </c>
      <c r="F419" s="40"/>
      <c r="G419" s="40"/>
      <c r="H419" s="42" t="s">
        <v>515</v>
      </c>
    </row>
    <row r="420" spans="2:8" s="26" customFormat="1">
      <c r="B420" s="52"/>
      <c r="C420" s="40" t="s">
        <v>516</v>
      </c>
      <c r="D420" s="41">
        <v>8</v>
      </c>
      <c r="E420" s="40" t="s">
        <v>9</v>
      </c>
      <c r="F420" s="40"/>
      <c r="G420" s="40"/>
      <c r="H420" s="42" t="s">
        <v>515</v>
      </c>
    </row>
    <row r="421" spans="2:8" s="26" customFormat="1">
      <c r="B421" s="52"/>
      <c r="C421" s="40" t="s">
        <v>517</v>
      </c>
      <c r="D421" s="41">
        <v>1</v>
      </c>
      <c r="E421" s="40" t="s">
        <v>9</v>
      </c>
      <c r="F421" s="40"/>
      <c r="G421" s="40"/>
      <c r="H421" s="42" t="s">
        <v>515</v>
      </c>
    </row>
    <row r="422" spans="2:8" s="26" customFormat="1">
      <c r="B422" s="52"/>
      <c r="C422" s="40" t="s">
        <v>518</v>
      </c>
      <c r="D422" s="41">
        <v>1</v>
      </c>
      <c r="E422" s="40" t="s">
        <v>9</v>
      </c>
      <c r="F422" s="40"/>
      <c r="G422" s="40"/>
      <c r="H422" s="42" t="s">
        <v>515</v>
      </c>
    </row>
    <row r="423" spans="2:8" s="26" customFormat="1">
      <c r="B423" s="52"/>
      <c r="C423" s="40" t="s">
        <v>519</v>
      </c>
      <c r="D423" s="41">
        <v>32</v>
      </c>
      <c r="E423" s="40" t="s">
        <v>9</v>
      </c>
      <c r="F423" s="40"/>
      <c r="G423" s="40"/>
      <c r="H423" s="42" t="s">
        <v>515</v>
      </c>
    </row>
    <row r="424" spans="2:8" s="26" customFormat="1">
      <c r="B424" s="52"/>
      <c r="C424" s="40" t="s">
        <v>520</v>
      </c>
      <c r="D424" s="41">
        <v>21</v>
      </c>
      <c r="E424" s="40" t="s">
        <v>9</v>
      </c>
      <c r="F424" s="40"/>
      <c r="G424" s="40"/>
      <c r="H424" s="42" t="s">
        <v>515</v>
      </c>
    </row>
    <row r="425" spans="2:8" s="26" customFormat="1">
      <c r="B425" s="52"/>
      <c r="C425" s="40" t="s">
        <v>521</v>
      </c>
      <c r="D425" s="41">
        <v>7</v>
      </c>
      <c r="E425" s="40" t="s">
        <v>9</v>
      </c>
      <c r="F425" s="40"/>
      <c r="G425" s="40"/>
      <c r="H425" s="42" t="s">
        <v>515</v>
      </c>
    </row>
    <row r="426" spans="2:8" s="26" customFormat="1">
      <c r="B426" s="52"/>
      <c r="C426" s="40" t="s">
        <v>522</v>
      </c>
      <c r="D426" s="41">
        <v>1</v>
      </c>
      <c r="E426" s="40" t="s">
        <v>9</v>
      </c>
      <c r="F426" s="40"/>
      <c r="G426" s="40"/>
      <c r="H426" s="42" t="s">
        <v>515</v>
      </c>
    </row>
    <row r="427" spans="2:8" s="26" customFormat="1">
      <c r="B427" s="51" t="s">
        <v>523</v>
      </c>
      <c r="C427" s="40" t="s">
        <v>524</v>
      </c>
      <c r="D427" s="41">
        <v>21</v>
      </c>
      <c r="E427" s="40" t="s">
        <v>9</v>
      </c>
      <c r="F427" s="40"/>
      <c r="G427" s="40"/>
      <c r="H427" s="42" t="s">
        <v>525</v>
      </c>
    </row>
    <row r="428" spans="2:8" s="26" customFormat="1">
      <c r="B428" s="52"/>
      <c r="C428" s="40" t="s">
        <v>526</v>
      </c>
      <c r="D428" s="41">
        <v>11</v>
      </c>
      <c r="E428" s="40" t="s">
        <v>9</v>
      </c>
      <c r="F428" s="40"/>
      <c r="G428" s="40"/>
      <c r="H428" s="42" t="s">
        <v>525</v>
      </c>
    </row>
    <row r="429" spans="2:8" s="26" customFormat="1">
      <c r="B429" s="52"/>
      <c r="C429" s="40" t="s">
        <v>527</v>
      </c>
      <c r="D429" s="41">
        <v>1</v>
      </c>
      <c r="E429" s="40" t="s">
        <v>9</v>
      </c>
      <c r="F429" s="40"/>
      <c r="G429" s="40"/>
      <c r="H429" s="42" t="s">
        <v>525</v>
      </c>
    </row>
    <row r="430" spans="2:8" s="26" customFormat="1">
      <c r="B430" s="52"/>
      <c r="C430" s="40" t="s">
        <v>528</v>
      </c>
      <c r="D430" s="41">
        <v>5</v>
      </c>
      <c r="E430" s="40" t="s">
        <v>9</v>
      </c>
      <c r="F430" s="40"/>
      <c r="G430" s="40"/>
      <c r="H430" s="42" t="s">
        <v>525</v>
      </c>
    </row>
    <row r="431" spans="2:8" s="26" customFormat="1">
      <c r="B431" s="52"/>
      <c r="C431" s="40" t="s">
        <v>529</v>
      </c>
      <c r="D431" s="41">
        <v>6</v>
      </c>
      <c r="E431" s="40" t="s">
        <v>9</v>
      </c>
      <c r="F431" s="40"/>
      <c r="G431" s="40"/>
      <c r="H431" s="42" t="s">
        <v>525</v>
      </c>
    </row>
    <row r="432" spans="2:8" s="26" customFormat="1">
      <c r="B432" s="52"/>
      <c r="C432" s="40" t="s">
        <v>530</v>
      </c>
      <c r="D432" s="41">
        <v>10</v>
      </c>
      <c r="E432" s="40" t="s">
        <v>9</v>
      </c>
      <c r="F432" s="40"/>
      <c r="G432" s="40"/>
      <c r="H432" s="42" t="s">
        <v>525</v>
      </c>
    </row>
    <row r="433" spans="2:8" s="26" customFormat="1">
      <c r="B433" s="52"/>
      <c r="C433" s="40" t="s">
        <v>531</v>
      </c>
      <c r="D433" s="41">
        <v>5</v>
      </c>
      <c r="E433" s="40" t="s">
        <v>9</v>
      </c>
      <c r="F433" s="40"/>
      <c r="G433" s="40"/>
      <c r="H433" s="42" t="s">
        <v>525</v>
      </c>
    </row>
    <row r="434" spans="2:8" s="26" customFormat="1">
      <c r="B434" s="52"/>
      <c r="C434" s="40" t="s">
        <v>532</v>
      </c>
      <c r="D434" s="41">
        <v>5</v>
      </c>
      <c r="E434" s="40" t="s">
        <v>9</v>
      </c>
      <c r="F434" s="40"/>
      <c r="G434" s="40"/>
      <c r="H434" s="42" t="s">
        <v>525</v>
      </c>
    </row>
    <row r="435" spans="2:8" s="26" customFormat="1">
      <c r="B435" s="52"/>
      <c r="C435" s="40" t="s">
        <v>533</v>
      </c>
      <c r="D435" s="41">
        <v>1</v>
      </c>
      <c r="E435" s="40" t="s">
        <v>9</v>
      </c>
      <c r="F435" s="40"/>
      <c r="G435" s="40"/>
      <c r="H435" s="42" t="s">
        <v>525</v>
      </c>
    </row>
    <row r="436" spans="2:8" s="26" customFormat="1">
      <c r="B436" s="52"/>
      <c r="C436" s="40" t="s">
        <v>534</v>
      </c>
      <c r="D436" s="41">
        <v>1</v>
      </c>
      <c r="E436" s="40" t="s">
        <v>9</v>
      </c>
      <c r="F436" s="40"/>
      <c r="G436" s="40"/>
      <c r="H436" s="42" t="s">
        <v>525</v>
      </c>
    </row>
    <row r="437" spans="2:8" s="26" customFormat="1">
      <c r="B437" s="52"/>
      <c r="C437" s="40" t="s">
        <v>535</v>
      </c>
      <c r="D437" s="41">
        <v>42</v>
      </c>
      <c r="E437" s="40" t="s">
        <v>9</v>
      </c>
      <c r="F437" s="40"/>
      <c r="G437" s="40"/>
      <c r="H437" s="42" t="s">
        <v>525</v>
      </c>
    </row>
    <row r="438" spans="2:8" s="26" customFormat="1">
      <c r="B438" s="52"/>
      <c r="C438" s="40" t="s">
        <v>536</v>
      </c>
      <c r="D438" s="41">
        <v>4</v>
      </c>
      <c r="E438" s="40" t="s">
        <v>9</v>
      </c>
      <c r="F438" s="40"/>
      <c r="G438" s="40"/>
      <c r="H438" s="42" t="s">
        <v>525</v>
      </c>
    </row>
    <row r="439" spans="2:8" s="26" customFormat="1">
      <c r="B439" s="52"/>
      <c r="C439" s="40" t="s">
        <v>537</v>
      </c>
      <c r="D439" s="41">
        <v>14</v>
      </c>
      <c r="E439" s="40" t="s">
        <v>9</v>
      </c>
      <c r="F439" s="40"/>
      <c r="G439" s="40"/>
      <c r="H439" s="42" t="s">
        <v>525</v>
      </c>
    </row>
    <row r="440" spans="2:8" s="26" customFormat="1">
      <c r="B440" s="52"/>
      <c r="C440" s="40" t="s">
        <v>538</v>
      </c>
      <c r="D440" s="41">
        <v>1</v>
      </c>
      <c r="E440" s="40" t="s">
        <v>9</v>
      </c>
      <c r="F440" s="40"/>
      <c r="G440" s="40"/>
      <c r="H440" s="42" t="s">
        <v>525</v>
      </c>
    </row>
    <row r="441" spans="2:8" s="26" customFormat="1">
      <c r="B441" s="52"/>
      <c r="C441" s="40" t="s">
        <v>539</v>
      </c>
      <c r="D441" s="41">
        <v>1</v>
      </c>
      <c r="E441" s="40" t="s">
        <v>9</v>
      </c>
      <c r="F441" s="40"/>
      <c r="G441" s="40"/>
      <c r="H441" s="42" t="s">
        <v>525</v>
      </c>
    </row>
    <row r="442" spans="2:8" s="26" customFormat="1">
      <c r="B442" s="52"/>
      <c r="C442" s="40" t="s">
        <v>540</v>
      </c>
      <c r="D442" s="41">
        <v>84</v>
      </c>
      <c r="E442" s="40" t="s">
        <v>9</v>
      </c>
      <c r="F442" s="40"/>
      <c r="G442" s="40"/>
      <c r="H442" s="42" t="s">
        <v>525</v>
      </c>
    </row>
    <row r="443" spans="2:8" s="26" customFormat="1">
      <c r="B443" s="52"/>
      <c r="C443" s="40" t="s">
        <v>541</v>
      </c>
      <c r="D443" s="41">
        <v>2</v>
      </c>
      <c r="E443" s="40" t="s">
        <v>9</v>
      </c>
      <c r="F443" s="40"/>
      <c r="G443" s="40"/>
      <c r="H443" s="42" t="s">
        <v>525</v>
      </c>
    </row>
    <row r="444" spans="2:8" s="26" customFormat="1">
      <c r="B444" s="52"/>
      <c r="C444" s="40" t="s">
        <v>542</v>
      </c>
      <c r="D444" s="41">
        <v>24</v>
      </c>
      <c r="E444" s="40" t="s">
        <v>9</v>
      </c>
      <c r="F444" s="40"/>
      <c r="G444" s="40"/>
      <c r="H444" s="42" t="s">
        <v>525</v>
      </c>
    </row>
    <row r="445" spans="2:8" s="26" customFormat="1">
      <c r="B445" s="52"/>
      <c r="C445" s="40" t="s">
        <v>543</v>
      </c>
      <c r="D445" s="41">
        <v>15</v>
      </c>
      <c r="E445" s="40" t="s">
        <v>9</v>
      </c>
      <c r="F445" s="40"/>
      <c r="G445" s="40"/>
      <c r="H445" s="42" t="s">
        <v>525</v>
      </c>
    </row>
    <row r="446" spans="2:8" s="26" customFormat="1">
      <c r="B446" s="52"/>
      <c r="C446" s="40" t="s">
        <v>544</v>
      </c>
      <c r="D446" s="41">
        <v>5</v>
      </c>
      <c r="E446" s="40" t="s">
        <v>9</v>
      </c>
      <c r="F446" s="40"/>
      <c r="G446" s="40"/>
      <c r="H446" s="42" t="s">
        <v>525</v>
      </c>
    </row>
    <row r="447" spans="2:8" s="26" customFormat="1">
      <c r="B447" s="52"/>
      <c r="C447" s="40" t="s">
        <v>545</v>
      </c>
      <c r="D447" s="41">
        <v>8</v>
      </c>
      <c r="E447" s="40" t="s">
        <v>9</v>
      </c>
      <c r="F447" s="40"/>
      <c r="G447" s="40"/>
      <c r="H447" s="42" t="s">
        <v>525</v>
      </c>
    </row>
    <row r="448" spans="2:8" s="26" customFormat="1">
      <c r="B448" s="53"/>
      <c r="C448" s="40" t="s">
        <v>546</v>
      </c>
      <c r="D448" s="41">
        <v>1</v>
      </c>
      <c r="E448" s="40" t="s">
        <v>9</v>
      </c>
      <c r="F448" s="40"/>
      <c r="G448" s="40"/>
      <c r="H448" s="42" t="s">
        <v>525</v>
      </c>
    </row>
    <row r="449" spans="2:8">
      <c r="B449" s="39" t="s">
        <v>547</v>
      </c>
      <c r="C449" s="37" t="s">
        <v>548</v>
      </c>
      <c r="D449" s="16">
        <v>1</v>
      </c>
      <c r="E449" s="37" t="s">
        <v>9</v>
      </c>
      <c r="F449" s="16"/>
      <c r="G449" s="37"/>
      <c r="H449" s="38" t="s">
        <v>465</v>
      </c>
    </row>
    <row r="450" spans="2:8">
      <c r="B450" s="33" t="s">
        <v>549</v>
      </c>
      <c r="C450" s="34"/>
      <c r="D450" s="35"/>
      <c r="E450" s="34"/>
      <c r="F450" s="35"/>
      <c r="G450" s="34"/>
      <c r="H450" s="36"/>
    </row>
    <row r="451" spans="2:8">
      <c r="B451" s="39" t="s">
        <v>550</v>
      </c>
      <c r="C451" s="37" t="s">
        <v>550</v>
      </c>
      <c r="D451" s="16">
        <v>29</v>
      </c>
      <c r="E451" s="37" t="s">
        <v>9</v>
      </c>
      <c r="F451" s="16"/>
      <c r="G451" s="37"/>
      <c r="H451" s="38" t="s">
        <v>551</v>
      </c>
    </row>
    <row r="452" spans="2:8">
      <c r="B452" s="33" t="s">
        <v>552</v>
      </c>
      <c r="C452" s="34"/>
      <c r="D452" s="35"/>
      <c r="E452" s="34"/>
      <c r="F452" s="35"/>
      <c r="G452" s="34"/>
      <c r="H452" s="36"/>
    </row>
    <row r="453" spans="2:8">
      <c r="B453" s="39" t="s">
        <v>553</v>
      </c>
      <c r="C453" s="37" t="s">
        <v>553</v>
      </c>
      <c r="D453" s="16">
        <v>3003</v>
      </c>
      <c r="E453" s="37" t="s">
        <v>15</v>
      </c>
      <c r="F453" s="16"/>
      <c r="G453" s="37"/>
      <c r="H453" s="38" t="s">
        <v>554</v>
      </c>
    </row>
    <row r="454" spans="2:8">
      <c r="B454" s="39" t="s">
        <v>555</v>
      </c>
      <c r="C454" s="37" t="s">
        <v>556</v>
      </c>
      <c r="D454" s="16">
        <v>3458.62</v>
      </c>
      <c r="E454" s="37" t="s">
        <v>18</v>
      </c>
      <c r="F454" s="16"/>
      <c r="G454" s="37"/>
      <c r="H454" s="38" t="s">
        <v>554</v>
      </c>
    </row>
    <row r="455" spans="2:8">
      <c r="B455" s="33" t="s">
        <v>557</v>
      </c>
      <c r="C455" s="34"/>
      <c r="D455" s="35"/>
      <c r="E455" s="34"/>
      <c r="F455" s="35"/>
      <c r="G455" s="34"/>
      <c r="H455" s="36"/>
    </row>
    <row r="456" spans="2:8">
      <c r="B456" s="39" t="s">
        <v>558</v>
      </c>
      <c r="C456" s="37" t="s">
        <v>558</v>
      </c>
      <c r="D456" s="16">
        <v>1</v>
      </c>
      <c r="E456" s="37" t="s">
        <v>9</v>
      </c>
      <c r="F456" s="16"/>
      <c r="G456" s="37"/>
      <c r="H456" s="38" t="s">
        <v>10</v>
      </c>
    </row>
    <row r="457" spans="2:8">
      <c r="B457" s="51" t="s">
        <v>559</v>
      </c>
      <c r="C457" s="37" t="s">
        <v>560</v>
      </c>
      <c r="D457" s="16">
        <v>7863</v>
      </c>
      <c r="E457" s="37" t="s">
        <v>15</v>
      </c>
      <c r="F457" s="16"/>
      <c r="G457" s="37"/>
      <c r="H457" s="38" t="s">
        <v>25</v>
      </c>
    </row>
    <row r="458" spans="2:8">
      <c r="B458" s="52" t="s">
        <v>559</v>
      </c>
      <c r="C458" s="37" t="s">
        <v>561</v>
      </c>
      <c r="D458" s="16">
        <v>22490</v>
      </c>
      <c r="E458" s="37" t="s">
        <v>15</v>
      </c>
      <c r="F458" s="16"/>
      <c r="G458" s="37"/>
      <c r="H458" s="38" t="s">
        <v>562</v>
      </c>
    </row>
    <row r="459" spans="2:8">
      <c r="B459" s="52" t="s">
        <v>559</v>
      </c>
      <c r="C459" s="37" t="s">
        <v>563</v>
      </c>
      <c r="D459" s="16">
        <v>51985</v>
      </c>
      <c r="E459" s="37" t="s">
        <v>15</v>
      </c>
      <c r="F459" s="16"/>
      <c r="G459" s="37"/>
      <c r="H459" s="38" t="s">
        <v>562</v>
      </c>
    </row>
    <row r="460" spans="2:8">
      <c r="B460" s="52" t="s">
        <v>559</v>
      </c>
      <c r="C460" s="37" t="s">
        <v>564</v>
      </c>
      <c r="D460" s="16">
        <v>25295</v>
      </c>
      <c r="E460" s="37" t="s">
        <v>15</v>
      </c>
      <c r="F460" s="16"/>
      <c r="G460" s="37"/>
      <c r="H460" s="38" t="s">
        <v>562</v>
      </c>
    </row>
    <row r="461" spans="2:8">
      <c r="B461" s="51" t="s">
        <v>565</v>
      </c>
      <c r="C461" s="37" t="s">
        <v>566</v>
      </c>
      <c r="D461" s="16">
        <v>28</v>
      </c>
      <c r="E461" s="37" t="s">
        <v>9</v>
      </c>
      <c r="F461" s="16"/>
      <c r="G461" s="37"/>
      <c r="H461" s="38" t="s">
        <v>567</v>
      </c>
    </row>
    <row r="462" spans="2:8">
      <c r="B462" s="52" t="s">
        <v>565</v>
      </c>
      <c r="C462" s="37" t="s">
        <v>568</v>
      </c>
      <c r="D462" s="16">
        <v>64</v>
      </c>
      <c r="E462" s="37" t="s">
        <v>9</v>
      </c>
      <c r="F462" s="16"/>
      <c r="G462" s="37"/>
      <c r="H462" s="38" t="s">
        <v>10</v>
      </c>
    </row>
    <row r="463" spans="2:8">
      <c r="B463" s="52" t="s">
        <v>565</v>
      </c>
      <c r="C463" s="37" t="s">
        <v>569</v>
      </c>
      <c r="D463" s="16">
        <v>56</v>
      </c>
      <c r="E463" s="37" t="s">
        <v>9</v>
      </c>
      <c r="F463" s="16"/>
      <c r="G463" s="37"/>
      <c r="H463" s="38" t="s">
        <v>10</v>
      </c>
    </row>
    <row r="464" spans="2:8">
      <c r="B464" s="52" t="s">
        <v>565</v>
      </c>
      <c r="C464" s="37" t="s">
        <v>570</v>
      </c>
      <c r="D464" s="16">
        <v>1</v>
      </c>
      <c r="E464" s="37" t="s">
        <v>9</v>
      </c>
      <c r="F464" s="16"/>
      <c r="G464" s="37"/>
      <c r="H464" s="38" t="s">
        <v>10</v>
      </c>
    </row>
    <row r="465" spans="2:8">
      <c r="B465" s="52" t="s">
        <v>565</v>
      </c>
      <c r="C465" s="37" t="s">
        <v>571</v>
      </c>
      <c r="D465" s="16">
        <v>4</v>
      </c>
      <c r="E465" s="37" t="s">
        <v>9</v>
      </c>
      <c r="F465" s="16"/>
      <c r="G465" s="37"/>
      <c r="H465" s="38" t="s">
        <v>65</v>
      </c>
    </row>
    <row r="466" spans="2:8">
      <c r="B466" s="39" t="s">
        <v>572</v>
      </c>
      <c r="C466" s="37" t="s">
        <v>572</v>
      </c>
      <c r="D466" s="16">
        <v>12</v>
      </c>
      <c r="E466" s="37" t="s">
        <v>9</v>
      </c>
      <c r="F466" s="16"/>
      <c r="G466" s="37"/>
      <c r="H466" s="38" t="s">
        <v>554</v>
      </c>
    </row>
    <row r="467" spans="2:8">
      <c r="B467" s="51" t="s">
        <v>573</v>
      </c>
      <c r="C467" s="37" t="s">
        <v>574</v>
      </c>
      <c r="D467" s="16">
        <v>559.12</v>
      </c>
      <c r="E467" s="37" t="s">
        <v>18</v>
      </c>
      <c r="F467" s="16"/>
      <c r="G467" s="37"/>
      <c r="H467" s="38" t="s">
        <v>10</v>
      </c>
    </row>
    <row r="468" spans="2:8">
      <c r="B468" s="52" t="s">
        <v>573</v>
      </c>
      <c r="C468" s="37" t="s">
        <v>573</v>
      </c>
      <c r="D468" s="16">
        <v>508.88</v>
      </c>
      <c r="E468" s="37" t="s">
        <v>18</v>
      </c>
      <c r="F468" s="16"/>
      <c r="G468" s="37"/>
      <c r="H468" s="38" t="s">
        <v>567</v>
      </c>
    </row>
    <row r="469" spans="2:8">
      <c r="B469" s="51" t="s">
        <v>575</v>
      </c>
      <c r="C469" s="37" t="s">
        <v>576</v>
      </c>
      <c r="D469" s="16">
        <v>1</v>
      </c>
      <c r="E469" s="37" t="s">
        <v>9</v>
      </c>
      <c r="F469" s="16"/>
      <c r="G469" s="37"/>
      <c r="H469" s="38" t="s">
        <v>10</v>
      </c>
    </row>
    <row r="470" spans="2:8">
      <c r="B470" s="52" t="s">
        <v>575</v>
      </c>
      <c r="C470" s="37" t="s">
        <v>575</v>
      </c>
      <c r="D470" s="16">
        <v>3</v>
      </c>
      <c r="E470" s="37" t="s">
        <v>9</v>
      </c>
      <c r="F470" s="16"/>
      <c r="G470" s="37"/>
      <c r="H470" s="38" t="s">
        <v>10</v>
      </c>
    </row>
    <row r="471" spans="2:8">
      <c r="B471" s="39" t="s">
        <v>577</v>
      </c>
      <c r="C471" s="37" t="s">
        <v>577</v>
      </c>
      <c r="D471" s="16">
        <v>4</v>
      </c>
      <c r="E471" s="37" t="s">
        <v>9</v>
      </c>
      <c r="F471" s="16"/>
      <c r="G471" s="37"/>
      <c r="H471" s="38" t="s">
        <v>578</v>
      </c>
    </row>
    <row r="472" spans="2:8">
      <c r="B472" s="39" t="s">
        <v>579</v>
      </c>
      <c r="C472" s="37" t="s">
        <v>580</v>
      </c>
      <c r="D472" s="16">
        <v>14</v>
      </c>
      <c r="E472" s="37" t="s">
        <v>9</v>
      </c>
      <c r="F472" s="16"/>
      <c r="G472" s="37"/>
      <c r="H472" s="38" t="s">
        <v>10</v>
      </c>
    </row>
    <row r="473" spans="2:8">
      <c r="B473" s="39" t="s">
        <v>581</v>
      </c>
      <c r="C473" s="37" t="s">
        <v>581</v>
      </c>
      <c r="D473" s="16">
        <v>7184</v>
      </c>
      <c r="E473" s="37" t="s">
        <v>15</v>
      </c>
      <c r="F473" s="16"/>
      <c r="G473" s="37"/>
      <c r="H473" s="38" t="s">
        <v>554</v>
      </c>
    </row>
    <row r="474" spans="2:8">
      <c r="B474" s="39" t="s">
        <v>582</v>
      </c>
      <c r="C474" s="37" t="s">
        <v>583</v>
      </c>
      <c r="D474" s="16">
        <v>2</v>
      </c>
      <c r="E474" s="37" t="s">
        <v>9</v>
      </c>
      <c r="F474" s="16"/>
      <c r="G474" s="37"/>
      <c r="H474" s="38" t="s">
        <v>65</v>
      </c>
    </row>
    <row r="475" spans="2:8">
      <c r="B475" s="39" t="s">
        <v>584</v>
      </c>
      <c r="C475" s="37" t="s">
        <v>585</v>
      </c>
      <c r="D475" s="16">
        <v>1556</v>
      </c>
      <c r="E475" s="37" t="s">
        <v>18</v>
      </c>
      <c r="F475" s="16"/>
      <c r="G475" s="37"/>
      <c r="H475" s="38" t="s">
        <v>567</v>
      </c>
    </row>
    <row r="476" spans="2:8">
      <c r="B476" s="39" t="s">
        <v>586</v>
      </c>
      <c r="C476" s="37" t="s">
        <v>587</v>
      </c>
      <c r="D476" s="16">
        <v>1</v>
      </c>
      <c r="E476" s="37" t="s">
        <v>9</v>
      </c>
      <c r="F476" s="16"/>
      <c r="G476" s="37"/>
      <c r="H476" s="38" t="s">
        <v>567</v>
      </c>
    </row>
    <row r="477" spans="2:8">
      <c r="B477" s="39" t="s">
        <v>588</v>
      </c>
      <c r="C477" s="37" t="s">
        <v>588</v>
      </c>
      <c r="D477" s="16">
        <v>1799</v>
      </c>
      <c r="E477" s="37" t="s">
        <v>15</v>
      </c>
      <c r="F477" s="16"/>
      <c r="G477" s="37"/>
      <c r="H477" s="38" t="s">
        <v>554</v>
      </c>
    </row>
    <row r="478" spans="2:8">
      <c r="B478" s="39" t="s">
        <v>589</v>
      </c>
      <c r="C478" s="37" t="s">
        <v>589</v>
      </c>
      <c r="D478" s="16">
        <v>2</v>
      </c>
      <c r="E478" s="37" t="s">
        <v>9</v>
      </c>
      <c r="F478" s="16"/>
      <c r="G478" s="37"/>
      <c r="H478" s="38" t="s">
        <v>590</v>
      </c>
    </row>
    <row r="479" spans="2:8">
      <c r="B479" s="39" t="s">
        <v>591</v>
      </c>
      <c r="C479" s="37" t="s">
        <v>592</v>
      </c>
      <c r="D479" s="16">
        <v>1</v>
      </c>
      <c r="E479" s="37" t="s">
        <v>9</v>
      </c>
      <c r="F479" s="16"/>
      <c r="G479" s="37"/>
      <c r="H479" s="38" t="s">
        <v>593</v>
      </c>
    </row>
    <row r="480" spans="2:8">
      <c r="B480" s="39" t="s">
        <v>594</v>
      </c>
      <c r="C480" s="37" t="s">
        <v>594</v>
      </c>
      <c r="D480" s="16">
        <v>10</v>
      </c>
      <c r="E480" s="37" t="s">
        <v>9</v>
      </c>
      <c r="F480" s="16"/>
      <c r="G480" s="37"/>
      <c r="H480" s="38" t="s">
        <v>595</v>
      </c>
    </row>
    <row r="481" spans="2:8">
      <c r="B481" s="39" t="s">
        <v>596</v>
      </c>
      <c r="C481" s="37" t="s">
        <v>596</v>
      </c>
      <c r="D481" s="16">
        <v>1</v>
      </c>
      <c r="E481" s="37" t="s">
        <v>9</v>
      </c>
      <c r="F481" s="16"/>
      <c r="G481" s="37"/>
      <c r="H481" s="38" t="s">
        <v>597</v>
      </c>
    </row>
    <row r="482" spans="2:8">
      <c r="B482" s="39" t="s">
        <v>598</v>
      </c>
      <c r="C482" s="37" t="s">
        <v>598</v>
      </c>
      <c r="D482" s="16">
        <v>3</v>
      </c>
      <c r="E482" s="37" t="s">
        <v>9</v>
      </c>
      <c r="F482" s="16"/>
      <c r="G482" s="37"/>
      <c r="H482" s="38" t="s">
        <v>10</v>
      </c>
    </row>
    <row r="483" spans="2:8">
      <c r="B483" s="51" t="s">
        <v>599</v>
      </c>
      <c r="C483" s="37" t="s">
        <v>600</v>
      </c>
      <c r="D483" s="16">
        <v>489.69</v>
      </c>
      <c r="E483" s="37" t="s">
        <v>18</v>
      </c>
      <c r="F483" s="16"/>
      <c r="G483" s="37"/>
      <c r="H483" s="38" t="s">
        <v>10</v>
      </c>
    </row>
    <row r="484" spans="2:8">
      <c r="B484" s="52" t="s">
        <v>599</v>
      </c>
      <c r="C484" s="37" t="s">
        <v>601</v>
      </c>
      <c r="D484" s="16">
        <v>1310.44</v>
      </c>
      <c r="E484" s="37" t="s">
        <v>18</v>
      </c>
      <c r="F484" s="16"/>
      <c r="G484" s="37"/>
      <c r="H484" s="38" t="s">
        <v>10</v>
      </c>
    </row>
    <row r="485" spans="2:8">
      <c r="B485" s="39" t="s">
        <v>602</v>
      </c>
      <c r="C485" s="37" t="s">
        <v>603</v>
      </c>
      <c r="D485" s="16">
        <v>1</v>
      </c>
      <c r="E485" s="37" t="s">
        <v>9</v>
      </c>
      <c r="F485" s="16"/>
      <c r="G485" s="37"/>
      <c r="H485" s="38" t="s">
        <v>10</v>
      </c>
    </row>
    <row r="486" spans="2:8">
      <c r="B486" s="39" t="s">
        <v>604</v>
      </c>
      <c r="C486" s="37" t="s">
        <v>605</v>
      </c>
      <c r="D486" s="16">
        <v>6</v>
      </c>
      <c r="E486" s="37" t="s">
        <v>9</v>
      </c>
      <c r="F486" s="16"/>
      <c r="G486" s="37"/>
      <c r="H486" s="38" t="s">
        <v>10</v>
      </c>
    </row>
    <row r="487" spans="2:8" s="27" customFormat="1">
      <c r="B487" s="54" t="s">
        <v>606</v>
      </c>
      <c r="C487" s="43" t="s">
        <v>607</v>
      </c>
      <c r="D487" s="44">
        <v>64</v>
      </c>
      <c r="E487" s="43" t="s">
        <v>9</v>
      </c>
      <c r="F487" s="45"/>
      <c r="G487" s="45"/>
      <c r="H487" s="46" t="s">
        <v>608</v>
      </c>
    </row>
    <row r="488" spans="2:8" s="27" customFormat="1">
      <c r="B488" s="54"/>
      <c r="C488" s="43" t="s">
        <v>609</v>
      </c>
      <c r="D488" s="44">
        <v>14</v>
      </c>
      <c r="E488" s="43" t="s">
        <v>9</v>
      </c>
      <c r="F488" s="45"/>
      <c r="G488" s="45"/>
      <c r="H488" s="46" t="s">
        <v>608</v>
      </c>
    </row>
    <row r="489" spans="2:8" s="27" customFormat="1">
      <c r="B489" s="54" t="s">
        <v>610</v>
      </c>
      <c r="C489" s="43" t="s">
        <v>611</v>
      </c>
      <c r="D489" s="44">
        <v>0</v>
      </c>
      <c r="E489" s="43" t="s">
        <v>9</v>
      </c>
      <c r="F489" s="45"/>
      <c r="G489" s="45"/>
      <c r="H489" s="46" t="s">
        <v>608</v>
      </c>
    </row>
    <row r="490" spans="2:8" s="27" customFormat="1">
      <c r="B490" s="54"/>
      <c r="C490" s="43" t="s">
        <v>612</v>
      </c>
      <c r="D490" s="44">
        <v>0</v>
      </c>
      <c r="E490" s="43" t="s">
        <v>9</v>
      </c>
      <c r="F490" s="45"/>
      <c r="G490" s="45"/>
      <c r="H490" s="46" t="s">
        <v>608</v>
      </c>
    </row>
    <row r="491" spans="2:8" s="27" customFormat="1">
      <c r="B491" s="54"/>
      <c r="C491" s="43" t="s">
        <v>613</v>
      </c>
      <c r="D491" s="44">
        <v>0</v>
      </c>
      <c r="E491" s="43" t="s">
        <v>9</v>
      </c>
      <c r="F491" s="45"/>
      <c r="G491" s="45"/>
      <c r="H491" s="46" t="s">
        <v>608</v>
      </c>
    </row>
    <row r="492" spans="2:8" s="27" customFormat="1">
      <c r="B492" s="54" t="s">
        <v>614</v>
      </c>
      <c r="C492" s="43" t="s">
        <v>615</v>
      </c>
      <c r="D492" s="44">
        <v>0</v>
      </c>
      <c r="E492" s="43" t="s">
        <v>9</v>
      </c>
      <c r="F492" s="45"/>
      <c r="G492" s="45"/>
      <c r="H492" s="46" t="s">
        <v>608</v>
      </c>
    </row>
    <row r="493" spans="2:8" s="27" customFormat="1">
      <c r="B493" s="54"/>
      <c r="C493" s="43" t="s">
        <v>616</v>
      </c>
      <c r="D493" s="44">
        <v>10</v>
      </c>
      <c r="E493" s="43" t="s">
        <v>9</v>
      </c>
      <c r="F493" s="45"/>
      <c r="G493" s="45"/>
      <c r="H493" s="46" t="s">
        <v>608</v>
      </c>
    </row>
    <row r="494" spans="2:8" s="27" customFormat="1">
      <c r="B494" s="54" t="s">
        <v>617</v>
      </c>
      <c r="C494" s="43" t="s">
        <v>618</v>
      </c>
      <c r="D494" s="44">
        <v>64172</v>
      </c>
      <c r="E494" s="43" t="s">
        <v>15</v>
      </c>
      <c r="F494" s="45"/>
      <c r="G494" s="45"/>
      <c r="H494" s="46" t="s">
        <v>608</v>
      </c>
    </row>
    <row r="495" spans="2:8" s="27" customFormat="1">
      <c r="B495" s="54"/>
      <c r="C495" s="43" t="s">
        <v>619</v>
      </c>
      <c r="D495" s="44">
        <v>946</v>
      </c>
      <c r="E495" s="43" t="s">
        <v>15</v>
      </c>
      <c r="F495" s="45"/>
      <c r="G495" s="45"/>
      <c r="H495" s="46" t="s">
        <v>608</v>
      </c>
    </row>
    <row r="496" spans="2:8" s="27" customFormat="1">
      <c r="B496" s="54"/>
      <c r="C496" s="43" t="s">
        <v>620</v>
      </c>
      <c r="D496" s="44">
        <v>59294</v>
      </c>
      <c r="E496" s="43" t="s">
        <v>15</v>
      </c>
      <c r="F496" s="45"/>
      <c r="G496" s="45"/>
      <c r="H496" s="46" t="s">
        <v>608</v>
      </c>
    </row>
    <row r="497" spans="2:8">
      <c r="B497" s="51" t="s">
        <v>270</v>
      </c>
      <c r="C497" s="37" t="s">
        <v>621</v>
      </c>
      <c r="D497" s="16">
        <v>3</v>
      </c>
      <c r="E497" s="37" t="s">
        <v>9</v>
      </c>
      <c r="F497" s="16"/>
      <c r="G497" s="37"/>
      <c r="H497" s="38" t="s">
        <v>10</v>
      </c>
    </row>
    <row r="498" spans="2:8">
      <c r="B498" s="52" t="s">
        <v>270</v>
      </c>
      <c r="C498" s="37" t="s">
        <v>622</v>
      </c>
      <c r="D498" s="16">
        <v>2</v>
      </c>
      <c r="E498" s="37" t="s">
        <v>9</v>
      </c>
      <c r="F498" s="16"/>
      <c r="G498" s="37"/>
      <c r="H498" s="38" t="s">
        <v>567</v>
      </c>
    </row>
    <row r="499" spans="2:8">
      <c r="B499" s="52" t="s">
        <v>270</v>
      </c>
      <c r="C499" s="37" t="s">
        <v>623</v>
      </c>
      <c r="D499" s="16">
        <v>3</v>
      </c>
      <c r="E499" s="37" t="s">
        <v>9</v>
      </c>
      <c r="F499" s="16"/>
      <c r="G499" s="37"/>
      <c r="H499" s="38" t="s">
        <v>578</v>
      </c>
    </row>
    <row r="500" spans="2:8">
      <c r="B500" s="39" t="s">
        <v>624</v>
      </c>
      <c r="C500" s="37" t="s">
        <v>625</v>
      </c>
      <c r="D500" s="16">
        <v>16.329999999999998</v>
      </c>
      <c r="E500" s="37" t="s">
        <v>18</v>
      </c>
      <c r="F500" s="16"/>
      <c r="G500" s="37"/>
      <c r="H500" s="38" t="s">
        <v>10</v>
      </c>
    </row>
    <row r="501" spans="2:8">
      <c r="B501" s="39" t="s">
        <v>626</v>
      </c>
      <c r="C501" s="37" t="s">
        <v>626</v>
      </c>
      <c r="D501" s="16">
        <v>6</v>
      </c>
      <c r="E501" s="37" t="s">
        <v>9</v>
      </c>
      <c r="F501" s="16"/>
      <c r="G501" s="37"/>
      <c r="H501" s="38" t="s">
        <v>554</v>
      </c>
    </row>
    <row r="502" spans="2:8">
      <c r="B502" s="51" t="s">
        <v>627</v>
      </c>
      <c r="C502" s="37" t="s">
        <v>628</v>
      </c>
      <c r="D502" s="16">
        <v>88.83</v>
      </c>
      <c r="E502" s="37" t="s">
        <v>18</v>
      </c>
      <c r="F502" s="16"/>
      <c r="G502" s="37"/>
      <c r="H502" s="38" t="s">
        <v>10</v>
      </c>
    </row>
    <row r="503" spans="2:8">
      <c r="B503" s="52" t="s">
        <v>627</v>
      </c>
      <c r="C503" s="37" t="s">
        <v>629</v>
      </c>
      <c r="D503" s="16">
        <v>1596.46</v>
      </c>
      <c r="E503" s="37" t="s">
        <v>18</v>
      </c>
      <c r="F503" s="16"/>
      <c r="G503" s="37"/>
      <c r="H503" s="38" t="s">
        <v>567</v>
      </c>
    </row>
    <row r="504" spans="2:8">
      <c r="B504" s="39" t="s">
        <v>630</v>
      </c>
      <c r="C504" s="37" t="s">
        <v>631</v>
      </c>
      <c r="D504" s="16">
        <v>10</v>
      </c>
      <c r="E504" s="37" t="s">
        <v>9</v>
      </c>
      <c r="F504" s="16"/>
      <c r="G504" s="37"/>
      <c r="H504" s="38" t="s">
        <v>567</v>
      </c>
    </row>
    <row r="505" spans="2:8">
      <c r="B505" s="33" t="s">
        <v>632</v>
      </c>
      <c r="C505" s="34"/>
      <c r="D505" s="35"/>
      <c r="E505" s="34"/>
      <c r="F505" s="35"/>
      <c r="G505" s="34"/>
      <c r="H505" s="36"/>
    </row>
    <row r="506" spans="2:8">
      <c r="B506" s="51" t="s">
        <v>633</v>
      </c>
      <c r="C506" s="37" t="s">
        <v>634</v>
      </c>
      <c r="D506" s="16">
        <v>1</v>
      </c>
      <c r="E506" s="37" t="s">
        <v>9</v>
      </c>
      <c r="F506" s="16"/>
      <c r="G506" s="37"/>
      <c r="H506" s="38" t="s">
        <v>597</v>
      </c>
    </row>
    <row r="507" spans="2:8">
      <c r="B507" s="52" t="s">
        <v>633</v>
      </c>
      <c r="C507" s="37" t="s">
        <v>635</v>
      </c>
      <c r="D507" s="16">
        <v>2</v>
      </c>
      <c r="E507" s="37" t="s">
        <v>9</v>
      </c>
      <c r="F507" s="16"/>
      <c r="G507" s="37"/>
      <c r="H507" s="38" t="s">
        <v>597</v>
      </c>
    </row>
    <row r="508" spans="2:8">
      <c r="B508" s="51" t="s">
        <v>636</v>
      </c>
      <c r="C508" s="37" t="s">
        <v>637</v>
      </c>
      <c r="D508" s="16">
        <v>6</v>
      </c>
      <c r="E508" s="37" t="s">
        <v>9</v>
      </c>
      <c r="F508" s="16"/>
      <c r="G508" s="37"/>
      <c r="H508" s="38" t="s">
        <v>597</v>
      </c>
    </row>
    <row r="509" spans="2:8">
      <c r="B509" s="52" t="s">
        <v>636</v>
      </c>
      <c r="C509" s="37" t="s">
        <v>638</v>
      </c>
      <c r="D509" s="16">
        <v>3</v>
      </c>
      <c r="E509" s="37" t="s">
        <v>9</v>
      </c>
      <c r="F509" s="16"/>
      <c r="G509" s="37"/>
      <c r="H509" s="38" t="s">
        <v>593</v>
      </c>
    </row>
    <row r="510" spans="2:8">
      <c r="B510" s="52" t="s">
        <v>636</v>
      </c>
      <c r="C510" s="37" t="s">
        <v>639</v>
      </c>
      <c r="D510" s="16">
        <v>1</v>
      </c>
      <c r="E510" s="37" t="s">
        <v>9</v>
      </c>
      <c r="F510" s="16"/>
      <c r="G510" s="37"/>
      <c r="H510" s="38" t="s">
        <v>597</v>
      </c>
    </row>
    <row r="511" spans="2:8">
      <c r="B511" s="52" t="s">
        <v>636</v>
      </c>
      <c r="C511" s="37" t="s">
        <v>640</v>
      </c>
      <c r="D511" s="16">
        <v>7</v>
      </c>
      <c r="E511" s="37" t="s">
        <v>9</v>
      </c>
      <c r="F511" s="16"/>
      <c r="G511" s="37"/>
      <c r="H511" s="38" t="s">
        <v>593</v>
      </c>
    </row>
    <row r="512" spans="2:8">
      <c r="B512" s="52" t="s">
        <v>636</v>
      </c>
      <c r="C512" s="37" t="s">
        <v>641</v>
      </c>
      <c r="D512" s="16">
        <v>1</v>
      </c>
      <c r="E512" s="37" t="s">
        <v>9</v>
      </c>
      <c r="F512" s="16"/>
      <c r="G512" s="37"/>
      <c r="H512" s="38" t="s">
        <v>597</v>
      </c>
    </row>
    <row r="513" spans="2:8">
      <c r="B513" s="52" t="s">
        <v>636</v>
      </c>
      <c r="C513" s="37" t="s">
        <v>642</v>
      </c>
      <c r="D513" s="16">
        <v>11</v>
      </c>
      <c r="E513" s="37" t="s">
        <v>9</v>
      </c>
      <c r="F513" s="16"/>
      <c r="G513" s="37"/>
      <c r="H513" s="38" t="s">
        <v>643</v>
      </c>
    </row>
    <row r="514" spans="2:8">
      <c r="B514" s="51" t="s">
        <v>644</v>
      </c>
      <c r="C514" s="37" t="s">
        <v>645</v>
      </c>
      <c r="D514" s="16">
        <v>1</v>
      </c>
      <c r="E514" s="37" t="s">
        <v>9</v>
      </c>
      <c r="F514" s="16"/>
      <c r="G514" s="37"/>
      <c r="H514" s="38" t="s">
        <v>643</v>
      </c>
    </row>
    <row r="515" spans="2:8">
      <c r="B515" s="52" t="s">
        <v>644</v>
      </c>
      <c r="C515" s="37" t="s">
        <v>646</v>
      </c>
      <c r="D515" s="16">
        <v>1</v>
      </c>
      <c r="E515" s="37" t="s">
        <v>9</v>
      </c>
      <c r="F515" s="16"/>
      <c r="G515" s="37"/>
      <c r="H515" s="38" t="s">
        <v>643</v>
      </c>
    </row>
    <row r="516" spans="2:8">
      <c r="B516" s="52" t="s">
        <v>644</v>
      </c>
      <c r="C516" s="37" t="s">
        <v>647</v>
      </c>
      <c r="D516" s="16">
        <v>1</v>
      </c>
      <c r="E516" s="37" t="s">
        <v>9</v>
      </c>
      <c r="F516" s="16"/>
      <c r="G516" s="37"/>
      <c r="H516" s="38" t="s">
        <v>643</v>
      </c>
    </row>
    <row r="517" spans="2:8">
      <c r="B517" s="52" t="s">
        <v>644</v>
      </c>
      <c r="C517" s="37" t="s">
        <v>648</v>
      </c>
      <c r="D517" s="16">
        <v>1</v>
      </c>
      <c r="E517" s="37" t="s">
        <v>9</v>
      </c>
      <c r="F517" s="16"/>
      <c r="G517" s="37"/>
      <c r="H517" s="38" t="s">
        <v>643</v>
      </c>
    </row>
    <row r="518" spans="2:8">
      <c r="B518" s="52" t="s">
        <v>644</v>
      </c>
      <c r="C518" s="37" t="s">
        <v>649</v>
      </c>
      <c r="D518" s="16">
        <v>1</v>
      </c>
      <c r="E518" s="37" t="s">
        <v>9</v>
      </c>
      <c r="F518" s="16"/>
      <c r="G518" s="37"/>
      <c r="H518" s="38" t="s">
        <v>643</v>
      </c>
    </row>
    <row r="519" spans="2:8">
      <c r="B519" s="52" t="s">
        <v>644</v>
      </c>
      <c r="C519" s="37" t="s">
        <v>650</v>
      </c>
      <c r="D519" s="16">
        <v>1</v>
      </c>
      <c r="E519" s="37" t="s">
        <v>9</v>
      </c>
      <c r="F519" s="16"/>
      <c r="G519" s="37"/>
      <c r="H519" s="38" t="s">
        <v>643</v>
      </c>
    </row>
    <row r="520" spans="2:8">
      <c r="B520" s="52" t="s">
        <v>644</v>
      </c>
      <c r="C520" s="37" t="s">
        <v>651</v>
      </c>
      <c r="D520" s="16">
        <v>1</v>
      </c>
      <c r="E520" s="37" t="s">
        <v>9</v>
      </c>
      <c r="F520" s="16"/>
      <c r="G520" s="37"/>
      <c r="H520" s="38" t="s">
        <v>643</v>
      </c>
    </row>
    <row r="521" spans="2:8">
      <c r="B521" s="52" t="s">
        <v>644</v>
      </c>
      <c r="C521" s="37" t="s">
        <v>652</v>
      </c>
      <c r="D521" s="16">
        <v>1</v>
      </c>
      <c r="E521" s="37" t="s">
        <v>9</v>
      </c>
      <c r="F521" s="16"/>
      <c r="G521" s="37"/>
      <c r="H521" s="38" t="s">
        <v>643</v>
      </c>
    </row>
    <row r="522" spans="2:8">
      <c r="B522" s="52" t="s">
        <v>644</v>
      </c>
      <c r="C522" s="37" t="s">
        <v>653</v>
      </c>
      <c r="D522" s="16">
        <v>1</v>
      </c>
      <c r="E522" s="37" t="s">
        <v>9</v>
      </c>
      <c r="F522" s="16"/>
      <c r="G522" s="37"/>
      <c r="H522" s="38" t="s">
        <v>590</v>
      </c>
    </row>
    <row r="523" spans="2:8">
      <c r="B523" s="52" t="s">
        <v>644</v>
      </c>
      <c r="C523" s="37" t="s">
        <v>654</v>
      </c>
      <c r="D523" s="16">
        <v>1</v>
      </c>
      <c r="E523" s="37" t="s">
        <v>9</v>
      </c>
      <c r="F523" s="16"/>
      <c r="G523" s="37"/>
      <c r="H523" s="38" t="s">
        <v>590</v>
      </c>
    </row>
    <row r="524" spans="2:8">
      <c r="B524" s="39" t="s">
        <v>655</v>
      </c>
      <c r="C524" s="37" t="s">
        <v>655</v>
      </c>
      <c r="D524" s="16">
        <v>9</v>
      </c>
      <c r="E524" s="37" t="s">
        <v>9</v>
      </c>
      <c r="F524" s="16"/>
      <c r="G524" s="37"/>
      <c r="H524" s="38" t="s">
        <v>554</v>
      </c>
    </row>
    <row r="525" spans="2:8">
      <c r="B525" s="39" t="s">
        <v>656</v>
      </c>
      <c r="C525" s="37" t="s">
        <v>657</v>
      </c>
      <c r="D525" s="16">
        <v>132.66999999999999</v>
      </c>
      <c r="E525" s="37" t="s">
        <v>18</v>
      </c>
      <c r="F525" s="16"/>
      <c r="G525" s="37"/>
      <c r="H525" s="38" t="s">
        <v>590</v>
      </c>
    </row>
    <row r="526" spans="2:8">
      <c r="B526" s="39" t="s">
        <v>658</v>
      </c>
      <c r="C526" s="37" t="s">
        <v>659</v>
      </c>
      <c r="D526" s="16">
        <v>4</v>
      </c>
      <c r="E526" s="37" t="s">
        <v>9</v>
      </c>
      <c r="F526" s="16"/>
      <c r="G526" s="37"/>
      <c r="H526" s="38" t="s">
        <v>660</v>
      </c>
    </row>
    <row r="527" spans="2:8">
      <c r="B527" s="51" t="s">
        <v>661</v>
      </c>
      <c r="C527" s="37" t="s">
        <v>662</v>
      </c>
      <c r="D527" s="16">
        <v>1</v>
      </c>
      <c r="E527" s="37" t="s">
        <v>9</v>
      </c>
      <c r="F527" s="16"/>
      <c r="G527" s="37"/>
      <c r="H527" s="38" t="s">
        <v>643</v>
      </c>
    </row>
    <row r="528" spans="2:8">
      <c r="B528" s="52" t="s">
        <v>661</v>
      </c>
      <c r="C528" s="37" t="s">
        <v>663</v>
      </c>
      <c r="D528" s="16">
        <v>1</v>
      </c>
      <c r="E528" s="37" t="s">
        <v>9</v>
      </c>
      <c r="F528" s="16"/>
      <c r="G528" s="37"/>
      <c r="H528" s="38" t="s">
        <v>660</v>
      </c>
    </row>
    <row r="529" spans="2:8">
      <c r="B529" s="52" t="s">
        <v>661</v>
      </c>
      <c r="C529" s="37" t="s">
        <v>664</v>
      </c>
      <c r="D529" s="16">
        <v>1</v>
      </c>
      <c r="E529" s="37" t="s">
        <v>9</v>
      </c>
      <c r="F529" s="16"/>
      <c r="G529" s="37"/>
      <c r="H529" s="38" t="s">
        <v>660</v>
      </c>
    </row>
    <row r="530" spans="2:8">
      <c r="B530" s="52" t="s">
        <v>661</v>
      </c>
      <c r="C530" s="37" t="s">
        <v>665</v>
      </c>
      <c r="D530" s="16">
        <v>1</v>
      </c>
      <c r="E530" s="37" t="s">
        <v>9</v>
      </c>
      <c r="F530" s="16"/>
      <c r="G530" s="37"/>
      <c r="H530" s="38" t="s">
        <v>590</v>
      </c>
    </row>
    <row r="531" spans="2:8">
      <c r="B531" s="52" t="s">
        <v>661</v>
      </c>
      <c r="C531" s="37" t="s">
        <v>666</v>
      </c>
      <c r="D531" s="16">
        <v>1</v>
      </c>
      <c r="E531" s="37" t="s">
        <v>9</v>
      </c>
      <c r="F531" s="16"/>
      <c r="G531" s="37"/>
      <c r="H531" s="38" t="s">
        <v>590</v>
      </c>
    </row>
    <row r="532" spans="2:8">
      <c r="B532" s="52" t="s">
        <v>661</v>
      </c>
      <c r="C532" s="37" t="s">
        <v>667</v>
      </c>
      <c r="D532" s="16">
        <v>1</v>
      </c>
      <c r="E532" s="37" t="s">
        <v>9</v>
      </c>
      <c r="F532" s="16"/>
      <c r="G532" s="37"/>
      <c r="H532" s="38" t="s">
        <v>593</v>
      </c>
    </row>
    <row r="533" spans="2:8">
      <c r="B533" s="39" t="s">
        <v>668</v>
      </c>
      <c r="C533" s="37" t="s">
        <v>668</v>
      </c>
      <c r="D533" s="16">
        <v>2297.5100000000002</v>
      </c>
      <c r="E533" s="37" t="s">
        <v>18</v>
      </c>
      <c r="F533" s="16"/>
      <c r="G533" s="37"/>
      <c r="H533" s="38" t="s">
        <v>597</v>
      </c>
    </row>
    <row r="534" spans="2:8">
      <c r="B534" s="39" t="s">
        <v>669</v>
      </c>
      <c r="C534" s="37" t="s">
        <v>670</v>
      </c>
      <c r="D534" s="16">
        <v>2</v>
      </c>
      <c r="E534" s="37" t="s">
        <v>9</v>
      </c>
      <c r="F534" s="16"/>
      <c r="G534" s="37"/>
      <c r="H534" s="38" t="s">
        <v>597</v>
      </c>
    </row>
    <row r="535" spans="2:8">
      <c r="B535" s="51" t="s">
        <v>671</v>
      </c>
      <c r="C535" s="37" t="s">
        <v>672</v>
      </c>
      <c r="D535" s="16">
        <v>93.16</v>
      </c>
      <c r="E535" s="37" t="s">
        <v>18</v>
      </c>
      <c r="F535" s="16"/>
      <c r="G535" s="37"/>
      <c r="H535" s="38" t="s">
        <v>597</v>
      </c>
    </row>
    <row r="536" spans="2:8">
      <c r="B536" s="52" t="s">
        <v>671</v>
      </c>
      <c r="C536" s="37" t="s">
        <v>673</v>
      </c>
      <c r="D536" s="16">
        <v>500.89</v>
      </c>
      <c r="E536" s="37" t="s">
        <v>18</v>
      </c>
      <c r="F536" s="16"/>
      <c r="G536" s="37"/>
      <c r="H536" s="38" t="s">
        <v>593</v>
      </c>
    </row>
    <row r="537" spans="2:8">
      <c r="B537" s="39" t="s">
        <v>674</v>
      </c>
      <c r="C537" s="37" t="s">
        <v>674</v>
      </c>
      <c r="D537" s="16">
        <v>3</v>
      </c>
      <c r="E537" s="37" t="s">
        <v>9</v>
      </c>
      <c r="F537" s="16"/>
      <c r="G537" s="37"/>
      <c r="H537" s="38" t="s">
        <v>597</v>
      </c>
    </row>
    <row r="538" spans="2:8">
      <c r="B538" s="51" t="s">
        <v>675</v>
      </c>
      <c r="C538" s="37" t="s">
        <v>676</v>
      </c>
      <c r="D538" s="16">
        <v>128.99</v>
      </c>
      <c r="E538" s="37" t="s">
        <v>18</v>
      </c>
      <c r="F538" s="16"/>
      <c r="G538" s="37"/>
      <c r="H538" s="38" t="s">
        <v>597</v>
      </c>
    </row>
    <row r="539" spans="2:8">
      <c r="B539" s="52" t="s">
        <v>675</v>
      </c>
      <c r="C539" s="37" t="s">
        <v>677</v>
      </c>
      <c r="D539" s="16">
        <v>407.5</v>
      </c>
      <c r="E539" s="37" t="s">
        <v>18</v>
      </c>
      <c r="F539" s="16"/>
      <c r="G539" s="37"/>
      <c r="H539" s="38" t="s">
        <v>643</v>
      </c>
    </row>
    <row r="540" spans="2:8">
      <c r="B540" s="52" t="s">
        <v>675</v>
      </c>
      <c r="C540" s="37" t="s">
        <v>678</v>
      </c>
      <c r="D540" s="16">
        <v>140.55000000000001</v>
      </c>
      <c r="E540" s="37" t="s">
        <v>18</v>
      </c>
      <c r="F540" s="16"/>
      <c r="G540" s="37"/>
      <c r="H540" s="38" t="s">
        <v>590</v>
      </c>
    </row>
    <row r="541" spans="2:8">
      <c r="B541" s="52" t="s">
        <v>675</v>
      </c>
      <c r="C541" s="37" t="s">
        <v>679</v>
      </c>
      <c r="D541" s="16">
        <v>1667.17</v>
      </c>
      <c r="E541" s="37" t="s">
        <v>18</v>
      </c>
      <c r="F541" s="16"/>
      <c r="G541" s="37"/>
      <c r="H541" s="38" t="s">
        <v>660</v>
      </c>
    </row>
    <row r="542" spans="2:8">
      <c r="B542" s="52" t="s">
        <v>675</v>
      </c>
      <c r="C542" s="37" t="s">
        <v>680</v>
      </c>
      <c r="D542" s="16">
        <v>246.24</v>
      </c>
      <c r="E542" s="37" t="s">
        <v>18</v>
      </c>
      <c r="F542" s="16"/>
      <c r="G542" s="37"/>
      <c r="H542" s="38" t="s">
        <v>643</v>
      </c>
    </row>
    <row r="543" spans="2:8">
      <c r="B543" s="52" t="s">
        <v>675</v>
      </c>
      <c r="C543" s="37" t="s">
        <v>681</v>
      </c>
      <c r="D543" s="16">
        <v>162.22</v>
      </c>
      <c r="E543" s="37" t="s">
        <v>18</v>
      </c>
      <c r="F543" s="16"/>
      <c r="G543" s="37"/>
      <c r="H543" s="38" t="s">
        <v>597</v>
      </c>
    </row>
    <row r="544" spans="2:8">
      <c r="B544" s="52" t="s">
        <v>675</v>
      </c>
      <c r="C544" s="37" t="s">
        <v>682</v>
      </c>
      <c r="D544" s="16">
        <v>403.82</v>
      </c>
      <c r="E544" s="37" t="s">
        <v>18</v>
      </c>
      <c r="F544" s="16"/>
      <c r="G544" s="37"/>
      <c r="H544" s="38" t="s">
        <v>593</v>
      </c>
    </row>
    <row r="545" spans="2:8">
      <c r="B545" s="52" t="s">
        <v>675</v>
      </c>
      <c r="C545" s="37" t="s">
        <v>683</v>
      </c>
      <c r="D545" s="16">
        <v>25.6</v>
      </c>
      <c r="E545" s="37" t="s">
        <v>18</v>
      </c>
      <c r="F545" s="16"/>
      <c r="G545" s="37"/>
      <c r="H545" s="38" t="s">
        <v>597</v>
      </c>
    </row>
    <row r="546" spans="2:8">
      <c r="B546" s="52" t="s">
        <v>675</v>
      </c>
      <c r="C546" s="37" t="s">
        <v>684</v>
      </c>
      <c r="D546" s="16">
        <v>112.34</v>
      </c>
      <c r="E546" s="37" t="s">
        <v>18</v>
      </c>
      <c r="F546" s="16"/>
      <c r="G546" s="37"/>
      <c r="H546" s="38" t="s">
        <v>593</v>
      </c>
    </row>
    <row r="547" spans="2:8">
      <c r="B547" s="51" t="s">
        <v>685</v>
      </c>
      <c r="C547" s="37" t="s">
        <v>686</v>
      </c>
      <c r="D547" s="16">
        <v>1</v>
      </c>
      <c r="E547" s="37" t="s">
        <v>9</v>
      </c>
      <c r="F547" s="16"/>
      <c r="G547" s="37"/>
      <c r="H547" s="38" t="s">
        <v>597</v>
      </c>
    </row>
    <row r="548" spans="2:8">
      <c r="B548" s="52" t="s">
        <v>685</v>
      </c>
      <c r="C548" s="37" t="s">
        <v>687</v>
      </c>
      <c r="D548" s="16">
        <v>1</v>
      </c>
      <c r="E548" s="37" t="s">
        <v>9</v>
      </c>
      <c r="F548" s="16"/>
      <c r="G548" s="37"/>
      <c r="H548" s="38" t="s">
        <v>597</v>
      </c>
    </row>
    <row r="549" spans="2:8">
      <c r="B549" s="39" t="s">
        <v>688</v>
      </c>
      <c r="C549" s="37" t="s">
        <v>689</v>
      </c>
      <c r="D549" s="16">
        <v>28</v>
      </c>
      <c r="E549" s="37" t="s">
        <v>18</v>
      </c>
      <c r="F549" s="16"/>
      <c r="G549" s="37"/>
      <c r="H549" s="38" t="s">
        <v>643</v>
      </c>
    </row>
    <row r="550" spans="2:8">
      <c r="B550" s="39" t="s">
        <v>690</v>
      </c>
      <c r="C550" s="37" t="s">
        <v>690</v>
      </c>
      <c r="D550" s="16">
        <v>840.38</v>
      </c>
      <c r="E550" s="37" t="s">
        <v>18</v>
      </c>
      <c r="F550" s="16"/>
      <c r="G550" s="37"/>
      <c r="H550" s="38" t="s">
        <v>597</v>
      </c>
    </row>
    <row r="551" spans="2:8">
      <c r="B551" s="51" t="s">
        <v>691</v>
      </c>
      <c r="C551" s="37" t="s">
        <v>692</v>
      </c>
      <c r="D551" s="16">
        <v>449.11</v>
      </c>
      <c r="E551" s="37" t="s">
        <v>18</v>
      </c>
      <c r="F551" s="16"/>
      <c r="G551" s="37"/>
      <c r="H551" s="38" t="s">
        <v>597</v>
      </c>
    </row>
    <row r="552" spans="2:8">
      <c r="B552" s="52" t="s">
        <v>691</v>
      </c>
      <c r="C552" s="37" t="s">
        <v>693</v>
      </c>
      <c r="D552" s="16">
        <v>49.86</v>
      </c>
      <c r="E552" s="37" t="s">
        <v>18</v>
      </c>
      <c r="F552" s="16"/>
      <c r="G552" s="37"/>
      <c r="H552" s="38" t="s">
        <v>597</v>
      </c>
    </row>
    <row r="553" spans="2:8">
      <c r="B553" s="39" t="s">
        <v>694</v>
      </c>
      <c r="C553" s="37" t="s">
        <v>695</v>
      </c>
      <c r="D553" s="16">
        <v>2</v>
      </c>
      <c r="E553" s="37" t="s">
        <v>9</v>
      </c>
      <c r="F553" s="16"/>
      <c r="G553" s="37"/>
      <c r="H553" s="38" t="s">
        <v>597</v>
      </c>
    </row>
    <row r="554" spans="2:8">
      <c r="B554" s="47" t="s">
        <v>696</v>
      </c>
      <c r="C554" s="48" t="s">
        <v>697</v>
      </c>
      <c r="D554" s="49">
        <v>3</v>
      </c>
      <c r="E554" s="48" t="s">
        <v>9</v>
      </c>
      <c r="F554" s="49"/>
      <c r="G554" s="48"/>
      <c r="H554" s="50" t="s">
        <v>593</v>
      </c>
    </row>
  </sheetData>
  <sortState ref="B2:H499">
    <sortCondition ref="B2:B499"/>
    <sortCondition ref="C2:C499"/>
  </sortState>
  <mergeCells count="59">
    <mergeCell ref="B527:B532"/>
    <mergeCell ref="B535:B536"/>
    <mergeCell ref="B538:B546"/>
    <mergeCell ref="B547:B548"/>
    <mergeCell ref="B551:B552"/>
    <mergeCell ref="B497:B499"/>
    <mergeCell ref="B502:B503"/>
    <mergeCell ref="B506:B507"/>
    <mergeCell ref="B508:B513"/>
    <mergeCell ref="B514:B523"/>
    <mergeCell ref="B483:B484"/>
    <mergeCell ref="B487:B488"/>
    <mergeCell ref="B489:B491"/>
    <mergeCell ref="B492:B493"/>
    <mergeCell ref="B494:B496"/>
    <mergeCell ref="B427:B448"/>
    <mergeCell ref="B457:B460"/>
    <mergeCell ref="B461:B465"/>
    <mergeCell ref="B467:B468"/>
    <mergeCell ref="B469:B470"/>
    <mergeCell ref="B390:B391"/>
    <mergeCell ref="B394:B407"/>
    <mergeCell ref="B408:B412"/>
    <mergeCell ref="B415:B418"/>
    <mergeCell ref="B419:B426"/>
    <mergeCell ref="B347:B359"/>
    <mergeCell ref="B360:B365"/>
    <mergeCell ref="B366:B369"/>
    <mergeCell ref="B371:B374"/>
    <mergeCell ref="B377:B384"/>
    <mergeCell ref="B201:B202"/>
    <mergeCell ref="B203:B206"/>
    <mergeCell ref="B207:B210"/>
    <mergeCell ref="B212:B336"/>
    <mergeCell ref="B338:B343"/>
    <mergeCell ref="B124:B126"/>
    <mergeCell ref="B127:B131"/>
    <mergeCell ref="B132:B163"/>
    <mergeCell ref="B165:B167"/>
    <mergeCell ref="B168:B194"/>
    <mergeCell ref="B100:B101"/>
    <mergeCell ref="B103:B111"/>
    <mergeCell ref="B112:B114"/>
    <mergeCell ref="B115:B116"/>
    <mergeCell ref="B118:B123"/>
    <mergeCell ref="B62:B72"/>
    <mergeCell ref="B74:B78"/>
    <mergeCell ref="B79:B82"/>
    <mergeCell ref="B85:B86"/>
    <mergeCell ref="B90:B94"/>
    <mergeCell ref="B33:B36"/>
    <mergeCell ref="B38:B48"/>
    <mergeCell ref="B49:B53"/>
    <mergeCell ref="B56:B57"/>
    <mergeCell ref="B58:B61"/>
    <mergeCell ref="B4:B11"/>
    <mergeCell ref="B14:B22"/>
    <mergeCell ref="B25:B27"/>
    <mergeCell ref="B30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H28"/>
  <sheetViews>
    <sheetView topLeftCell="A7" workbookViewId="0">
      <selection activeCell="L15" sqref="L15"/>
    </sheetView>
  </sheetViews>
  <sheetFormatPr defaultColWidth="8.85546875" defaultRowHeight="15"/>
  <cols>
    <col min="1" max="1" width="8.85546875" style="2"/>
    <col min="2" max="2" width="13" style="2" customWidth="1"/>
    <col min="3" max="3" width="25.7109375" style="2" customWidth="1"/>
    <col min="4" max="4" width="10.7109375" style="3" customWidth="1"/>
    <col min="5" max="5" width="8.85546875" style="3"/>
    <col min="6" max="7" width="12.85546875" style="4"/>
    <col min="8" max="16384" width="8.85546875" style="2"/>
  </cols>
  <sheetData>
    <row r="6" spans="2:8" ht="15.75">
      <c r="B6" s="55" t="s">
        <v>698</v>
      </c>
      <c r="C6" s="56"/>
      <c r="D6" s="57"/>
      <c r="E6" s="57"/>
      <c r="F6" s="58"/>
      <c r="G6" s="58"/>
      <c r="H6" s="59"/>
    </row>
    <row r="7" spans="2:8">
      <c r="B7" s="5" t="s">
        <v>699</v>
      </c>
      <c r="C7" s="6" t="s">
        <v>700</v>
      </c>
      <c r="D7" s="7" t="s">
        <v>701</v>
      </c>
      <c r="E7" s="7" t="s">
        <v>702</v>
      </c>
      <c r="F7" s="8" t="s">
        <v>703</v>
      </c>
      <c r="G7" s="8" t="s">
        <v>704</v>
      </c>
      <c r="H7" s="9" t="s">
        <v>705</v>
      </c>
    </row>
    <row r="8" spans="2:8">
      <c r="B8" s="51" t="s">
        <v>92</v>
      </c>
      <c r="C8" s="10" t="s">
        <v>93</v>
      </c>
      <c r="D8" s="11">
        <v>60.25</v>
      </c>
      <c r="E8" s="11">
        <v>7.2</v>
      </c>
      <c r="F8" s="12">
        <f t="shared" ref="F8:F27" si="0">D8*E8</f>
        <v>433.8</v>
      </c>
      <c r="G8" s="12">
        <f t="shared" ref="G8:G27" si="1">F8*0.454/1000</f>
        <v>0.19694519999999999</v>
      </c>
      <c r="H8" s="13"/>
    </row>
    <row r="9" spans="2:8">
      <c r="B9" s="52" t="s">
        <v>92</v>
      </c>
      <c r="C9" s="14" t="s">
        <v>94</v>
      </c>
      <c r="D9" s="15">
        <v>2151.6460999999999</v>
      </c>
      <c r="E9" s="15">
        <v>3.71</v>
      </c>
      <c r="F9" s="16">
        <f t="shared" si="0"/>
        <v>7982.6070309999996</v>
      </c>
      <c r="G9" s="16">
        <f t="shared" si="1"/>
        <v>3.6241035920739999</v>
      </c>
      <c r="H9" s="17"/>
    </row>
    <row r="10" spans="2:8">
      <c r="B10" s="52" t="s">
        <v>92</v>
      </c>
      <c r="C10" s="14" t="s">
        <v>95</v>
      </c>
      <c r="D10" s="15">
        <v>112.18</v>
      </c>
      <c r="E10" s="15">
        <v>9.8000000000000007</v>
      </c>
      <c r="F10" s="16">
        <f t="shared" si="0"/>
        <v>1099.3640000000003</v>
      </c>
      <c r="G10" s="16">
        <f t="shared" si="1"/>
        <v>0.49911125600000011</v>
      </c>
      <c r="H10" s="17"/>
    </row>
    <row r="11" spans="2:8">
      <c r="B11" s="52" t="s">
        <v>92</v>
      </c>
      <c r="C11" s="14" t="s">
        <v>96</v>
      </c>
      <c r="D11" s="15">
        <v>108.4</v>
      </c>
      <c r="E11" s="15">
        <v>6.6</v>
      </c>
      <c r="F11" s="16">
        <f t="shared" si="0"/>
        <v>715.44</v>
      </c>
      <c r="G11" s="16">
        <f t="shared" si="1"/>
        <v>0.32480976000000006</v>
      </c>
      <c r="H11" s="17"/>
    </row>
    <row r="12" spans="2:8">
      <c r="B12" s="51" t="s">
        <v>97</v>
      </c>
      <c r="C12" s="14" t="s">
        <v>98</v>
      </c>
      <c r="D12" s="15">
        <v>82.95</v>
      </c>
      <c r="E12" s="15">
        <v>14.5</v>
      </c>
      <c r="F12" s="16">
        <f t="shared" si="0"/>
        <v>1202.7750000000001</v>
      </c>
      <c r="G12" s="16">
        <f t="shared" si="1"/>
        <v>0.54605985000000012</v>
      </c>
      <c r="H12" s="17"/>
    </row>
    <row r="13" spans="2:8">
      <c r="B13" s="52"/>
      <c r="C13" s="14" t="s">
        <v>99</v>
      </c>
      <c r="D13" s="15">
        <v>14.64</v>
      </c>
      <c r="E13" s="15">
        <v>23.3</v>
      </c>
      <c r="F13" s="16">
        <f t="shared" si="0"/>
        <v>341.11200000000002</v>
      </c>
      <c r="G13" s="16">
        <f t="shared" si="1"/>
        <v>0.15486484800000003</v>
      </c>
      <c r="H13" s="17"/>
    </row>
    <row r="14" spans="2:8">
      <c r="B14" s="52"/>
      <c r="C14" s="14" t="s">
        <v>100</v>
      </c>
      <c r="D14" s="15">
        <v>35.19</v>
      </c>
      <c r="E14" s="15">
        <v>41.9</v>
      </c>
      <c r="F14" s="16">
        <f t="shared" si="0"/>
        <v>1474.4609999999998</v>
      </c>
      <c r="G14" s="16">
        <f t="shared" si="1"/>
        <v>0.66940529399999993</v>
      </c>
      <c r="H14" s="17"/>
    </row>
    <row r="15" spans="2:8">
      <c r="B15" s="52"/>
      <c r="C15" s="14" t="s">
        <v>101</v>
      </c>
      <c r="D15" s="15">
        <v>41.8</v>
      </c>
      <c r="E15" s="15">
        <v>12</v>
      </c>
      <c r="F15" s="16">
        <f t="shared" si="0"/>
        <v>501.59999999999997</v>
      </c>
      <c r="G15" s="16">
        <f t="shared" si="1"/>
        <v>0.2277264</v>
      </c>
      <c r="H15" s="17"/>
    </row>
    <row r="16" spans="2:8">
      <c r="B16" s="52"/>
      <c r="C16" s="14" t="s">
        <v>102</v>
      </c>
      <c r="D16" s="15">
        <v>339.99959999999999</v>
      </c>
      <c r="E16" s="15">
        <v>19</v>
      </c>
      <c r="F16" s="16">
        <f t="shared" si="0"/>
        <v>6459.9924000000001</v>
      </c>
      <c r="G16" s="16">
        <f t="shared" si="1"/>
        <v>2.9328365496000002</v>
      </c>
      <c r="H16" s="17"/>
    </row>
    <row r="17" spans="2:8">
      <c r="B17" s="52"/>
      <c r="C17" s="14" t="s">
        <v>104</v>
      </c>
      <c r="D17" s="15">
        <v>21.01</v>
      </c>
      <c r="E17" s="15">
        <v>26</v>
      </c>
      <c r="F17" s="16">
        <f t="shared" si="0"/>
        <v>546.26</v>
      </c>
      <c r="G17" s="16">
        <f t="shared" si="1"/>
        <v>0.24800204000000001</v>
      </c>
      <c r="H17" s="17"/>
    </row>
    <row r="18" spans="2:8">
      <c r="B18" s="52"/>
      <c r="C18" s="14" t="s">
        <v>105</v>
      </c>
      <c r="D18" s="15">
        <v>3598.5871000000002</v>
      </c>
      <c r="E18" s="15">
        <v>22</v>
      </c>
      <c r="F18" s="16">
        <f t="shared" si="0"/>
        <v>79168.916200000007</v>
      </c>
      <c r="G18" s="16">
        <f t="shared" si="1"/>
        <v>35.942687954800007</v>
      </c>
      <c r="H18" s="17"/>
    </row>
    <row r="19" spans="2:8">
      <c r="B19" s="52"/>
      <c r="C19" s="14" t="s">
        <v>106</v>
      </c>
      <c r="D19" s="15">
        <v>29.47</v>
      </c>
      <c r="E19" s="15">
        <v>31</v>
      </c>
      <c r="F19" s="16">
        <f t="shared" si="0"/>
        <v>913.56999999999994</v>
      </c>
      <c r="G19" s="16">
        <f t="shared" si="1"/>
        <v>0.41476078</v>
      </c>
      <c r="H19" s="17"/>
    </row>
    <row r="20" spans="2:8">
      <c r="B20" s="52"/>
      <c r="C20" s="14" t="s">
        <v>107</v>
      </c>
      <c r="D20" s="15">
        <v>62.32</v>
      </c>
      <c r="E20" s="15">
        <v>35</v>
      </c>
      <c r="F20" s="16">
        <f t="shared" si="0"/>
        <v>2181.1999999999998</v>
      </c>
      <c r="G20" s="16">
        <f t="shared" si="1"/>
        <v>0.99026479999999995</v>
      </c>
      <c r="H20" s="17"/>
    </row>
    <row r="21" spans="2:8">
      <c r="B21" s="52"/>
      <c r="C21" s="14" t="s">
        <v>108</v>
      </c>
      <c r="D21" s="15">
        <v>58.34</v>
      </c>
      <c r="E21" s="15">
        <v>57</v>
      </c>
      <c r="F21" s="16">
        <f t="shared" si="0"/>
        <v>3325.38</v>
      </c>
      <c r="G21" s="16">
        <f t="shared" si="1"/>
        <v>1.50972252</v>
      </c>
      <c r="H21" s="17"/>
    </row>
    <row r="22" spans="2:8">
      <c r="B22" s="53"/>
      <c r="C22" s="14" t="s">
        <v>109</v>
      </c>
      <c r="D22" s="15">
        <v>105.06950000000001</v>
      </c>
      <c r="E22" s="15">
        <v>9</v>
      </c>
      <c r="F22" s="16">
        <f t="shared" si="0"/>
        <v>945.6255000000001</v>
      </c>
      <c r="G22" s="16">
        <f t="shared" si="1"/>
        <v>0.42931397700000007</v>
      </c>
      <c r="H22" s="17"/>
    </row>
    <row r="23" spans="2:8">
      <c r="B23" s="18" t="s">
        <v>110</v>
      </c>
      <c r="C23" s="14" t="s">
        <v>111</v>
      </c>
      <c r="D23" s="15">
        <v>103.2</v>
      </c>
      <c r="E23" s="15">
        <v>8.1999999999999993</v>
      </c>
      <c r="F23" s="16">
        <f t="shared" si="0"/>
        <v>846.2399999999999</v>
      </c>
      <c r="G23" s="16">
        <f t="shared" si="1"/>
        <v>0.38419295999999997</v>
      </c>
      <c r="H23" s="17"/>
    </row>
    <row r="24" spans="2:8">
      <c r="B24" s="51" t="s">
        <v>112</v>
      </c>
      <c r="C24" s="14" t="s">
        <v>706</v>
      </c>
      <c r="D24" s="15">
        <f>192+272</f>
        <v>464</v>
      </c>
      <c r="E24" s="15">
        <v>39.43</v>
      </c>
      <c r="F24" s="16">
        <f t="shared" si="0"/>
        <v>18295.52</v>
      </c>
      <c r="G24" s="16">
        <f t="shared" si="1"/>
        <v>8.3061660800000006</v>
      </c>
      <c r="H24" s="17"/>
    </row>
    <row r="25" spans="2:8">
      <c r="B25" s="52" t="s">
        <v>112</v>
      </c>
      <c r="C25" s="14" t="s">
        <v>707</v>
      </c>
      <c r="D25" s="15">
        <v>40</v>
      </c>
      <c r="E25" s="15">
        <v>10.58</v>
      </c>
      <c r="F25" s="16">
        <f t="shared" si="0"/>
        <v>423.2</v>
      </c>
      <c r="G25" s="16">
        <f t="shared" si="1"/>
        <v>0.19213279999999999</v>
      </c>
      <c r="H25" s="17"/>
    </row>
    <row r="26" spans="2:8">
      <c r="B26" s="52" t="s">
        <v>112</v>
      </c>
      <c r="C26" s="14" t="s">
        <v>708</v>
      </c>
      <c r="D26" s="15">
        <v>29</v>
      </c>
      <c r="E26" s="15">
        <v>12.21</v>
      </c>
      <c r="F26" s="16">
        <f t="shared" si="0"/>
        <v>354.09000000000003</v>
      </c>
      <c r="G26" s="16">
        <f t="shared" si="1"/>
        <v>0.16075686000000003</v>
      </c>
      <c r="H26" s="17"/>
    </row>
    <row r="27" spans="2:8">
      <c r="B27" s="52" t="s">
        <v>112</v>
      </c>
      <c r="C27" s="19" t="s">
        <v>709</v>
      </c>
      <c r="D27" s="20">
        <v>29</v>
      </c>
      <c r="E27" s="20">
        <v>15.62</v>
      </c>
      <c r="F27" s="21">
        <f t="shared" si="0"/>
        <v>452.97999999999996</v>
      </c>
      <c r="G27" s="21">
        <f t="shared" si="1"/>
        <v>0.20565291999999999</v>
      </c>
      <c r="H27" s="22"/>
    </row>
    <row r="28" spans="2:8" s="1" customFormat="1">
      <c r="B28" s="60" t="s">
        <v>710</v>
      </c>
      <c r="C28" s="61"/>
      <c r="D28" s="62"/>
      <c r="E28" s="62"/>
      <c r="F28" s="63"/>
      <c r="G28" s="23">
        <f>SUM(G8:G27)</f>
        <v>57.959516441474001</v>
      </c>
      <c r="H28" s="24" t="s">
        <v>711</v>
      </c>
    </row>
  </sheetData>
  <mergeCells count="5">
    <mergeCell ref="B6:H6"/>
    <mergeCell ref="B28:F28"/>
    <mergeCell ref="B8:B11"/>
    <mergeCell ref="B12:B22"/>
    <mergeCell ref="B24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Takeoff Summary</vt:lpstr>
      <vt:lpstr>Steel Calculation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2023-07-12T15:27:00Z</dcterms:created>
  <dcterms:modified xsi:type="dcterms:W3CDTF">2023-09-02T19:19:10Z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B9F9ADF6AA9F40C4A5D65BB5E1662902</vt:lpwstr>
  </property>
  <property fmtid="{D5CDD505-2E9C-101B-9397-08002B2CF9AE}" pid="3" name="KSOProductBuildVer">
    <vt:lpwstr>1033-11.2.0.11537</vt:lpwstr>
  </property>
</Properties>
</file>